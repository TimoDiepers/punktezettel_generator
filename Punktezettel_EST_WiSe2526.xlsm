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08" codeName="{E5D1E7B1-6628-F0F0-D09B-76B25B5F3CD3}"/>
  <workbookPr showObjects="none" codeName="DieseArbeitsmappe"/>
  <mc:AlternateContent xmlns:mc="http://schemas.openxmlformats.org/markup-compatibility/2006">
    <mc:Choice Requires="x15">
      <x15ac:absPath xmlns:x15ac="http://schemas.microsoft.com/office/spreadsheetml/2010/11/ac" url="/Users/timodiepers/Documents/Coding/punktezettel/"/>
    </mc:Choice>
  </mc:AlternateContent>
  <xr:revisionPtr revIDLastSave="0" documentId="13_ncr:1_{5A148D35-AA9E-E243-907D-258BDE65AD65}" xr6:coauthVersionLast="47" xr6:coauthVersionMax="47" xr10:uidLastSave="{00000000-0000-0000-0000-000000000000}"/>
  <bookViews>
    <workbookView xWindow="0" yWindow="660" windowWidth="30240" windowHeight="18980" activeTab="2" xr2:uid="{00000000-000D-0000-FFFF-FFFF00000000}"/>
  </bookViews>
  <sheets>
    <sheet name="Studenten" sheetId="8" r:id="rId1"/>
    <sheet name="Vorlage" sheetId="7" r:id="rId2"/>
    <sheet name="M5" sheetId="9" r:id="rId3"/>
  </sheets>
  <calcPr calcId="191029"/>
  <customWorkbookViews>
    <customWorkbookView name="Mappenansicht" guid="{3174DBA0-7C4D-4C95-8420-DC829DEAC464}" maximized="1" xWindow="1912" yWindow="-8" windowWidth="1936" windowHeight="1056" activeSheetId="7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9" l="1"/>
  <c r="G11" i="9"/>
  <c r="F11" i="9"/>
  <c r="H10" i="9"/>
  <c r="G10" i="9"/>
  <c r="F10" i="9"/>
  <c r="H9" i="9"/>
  <c r="G9" i="9"/>
  <c r="F9" i="9"/>
  <c r="H8" i="9"/>
  <c r="G8" i="9"/>
  <c r="F8" i="9"/>
  <c r="H7" i="9"/>
  <c r="G7" i="9"/>
  <c r="F7" i="9"/>
  <c r="AD6" i="9"/>
  <c r="AC6" i="9"/>
  <c r="AB6" i="9"/>
  <c r="AA6" i="9"/>
  <c r="Z6" i="9"/>
  <c r="Y6" i="9"/>
  <c r="X6" i="9"/>
  <c r="W6" i="9"/>
  <c r="V6" i="9"/>
  <c r="U6" i="9"/>
  <c r="T6" i="9"/>
  <c r="S6" i="9"/>
  <c r="R6" i="9"/>
  <c r="Q6" i="9"/>
  <c r="P6" i="9"/>
  <c r="O6" i="9"/>
  <c r="G6" i="9" s="1"/>
  <c r="F6" i="9" s="1"/>
  <c r="N6" i="9"/>
  <c r="M6" i="9"/>
  <c r="L6" i="9"/>
  <c r="K6" i="9"/>
  <c r="J6" i="9"/>
  <c r="I6" i="9"/>
  <c r="H6" i="9"/>
  <c r="H5" i="9"/>
  <c r="G5" i="9"/>
  <c r="F5" i="9"/>
  <c r="U6" i="7"/>
  <c r="V6" i="7"/>
  <c r="W6" i="7"/>
  <c r="X6" i="7"/>
  <c r="Y6" i="7"/>
  <c r="Z6" i="7"/>
  <c r="AA6" i="7"/>
  <c r="AB6" i="7"/>
  <c r="P6" i="7"/>
  <c r="O6" i="7"/>
  <c r="N6" i="7"/>
  <c r="M6" i="7"/>
  <c r="L6" i="7"/>
  <c r="K6" i="7"/>
  <c r="H5" i="7"/>
  <c r="I6" i="7"/>
  <c r="Q6" i="7"/>
  <c r="H9" i="7"/>
  <c r="H10" i="7"/>
  <c r="H11" i="7"/>
  <c r="H8" i="7"/>
  <c r="H7" i="7"/>
  <c r="G9" i="7"/>
  <c r="G10" i="7"/>
  <c r="G11" i="7"/>
  <c r="G8" i="7"/>
  <c r="G7" i="7"/>
  <c r="G5" i="7"/>
  <c r="F9" i="7" l="1"/>
  <c r="F8" i="7"/>
  <c r="F11" i="7"/>
  <c r="F7" i="7"/>
  <c r="F10" i="7"/>
  <c r="AD6" i="7"/>
  <c r="S6" i="7"/>
  <c r="AC6" i="7"/>
  <c r="H6" i="7" s="1"/>
  <c r="T6" i="7" l="1"/>
  <c r="F5" i="7" l="1"/>
  <c r="C32" i="8"/>
  <c r="C31" i="8"/>
  <c r="C30" i="8"/>
  <c r="C29" i="8"/>
  <c r="C28" i="8"/>
  <c r="C27" i="8"/>
  <c r="C26" i="8"/>
  <c r="C25" i="8"/>
  <c r="C24" i="8"/>
  <c r="C23" i="8"/>
  <c r="C22" i="8"/>
  <c r="C12" i="8"/>
  <c r="C13" i="8"/>
  <c r="C14" i="8"/>
  <c r="C15" i="8"/>
  <c r="C16" i="8"/>
  <c r="C17" i="8"/>
  <c r="C18" i="8"/>
  <c r="C19" i="8"/>
  <c r="C20" i="8"/>
  <c r="C21" i="8"/>
  <c r="C3" i="8"/>
  <c r="C4" i="8"/>
  <c r="C5" i="8"/>
  <c r="C6" i="8"/>
  <c r="C7" i="8"/>
  <c r="C8" i="8"/>
  <c r="C9" i="8"/>
  <c r="C10" i="8"/>
  <c r="C11" i="8"/>
  <c r="C2" i="8"/>
  <c r="C11" i="7" l="1"/>
  <c r="B7" i="7"/>
  <c r="D11" i="7"/>
  <c r="B8" i="7"/>
  <c r="C8" i="7"/>
  <c r="D8" i="7"/>
  <c r="B9" i="7"/>
  <c r="C7" i="7"/>
  <c r="C9" i="7"/>
  <c r="D7" i="7"/>
  <c r="D9" i="7"/>
  <c r="B10" i="7"/>
  <c r="C10" i="7"/>
  <c r="D10" i="7"/>
  <c r="B11" i="7"/>
  <c r="J6" i="7"/>
  <c r="R6" i="7"/>
  <c r="G6" i="7" l="1"/>
  <c r="F6" i="7" s="1"/>
</calcChain>
</file>

<file path=xl/sharedStrings.xml><?xml version="1.0" encoding="utf-8"?>
<sst xmlns="http://schemas.openxmlformats.org/spreadsheetml/2006/main" count="240" uniqueCount="135">
  <si>
    <t>Richtige Klausur?</t>
  </si>
  <si>
    <t>S</t>
  </si>
  <si>
    <t>Matr-Nr</t>
  </si>
  <si>
    <t>SS</t>
  </si>
  <si>
    <t>Nachname</t>
  </si>
  <si>
    <t>Vorname</t>
  </si>
  <si>
    <t>Mappe</t>
  </si>
  <si>
    <t>SUM</t>
  </si>
  <si>
    <t>Matrikelnummer</t>
  </si>
  <si>
    <t>Stelle in Mappe</t>
  </si>
  <si>
    <t>KlausurCode</t>
  </si>
  <si>
    <t>Datum:</t>
  </si>
  <si>
    <t>Nr</t>
  </si>
  <si>
    <t>Maximale Punke</t>
  </si>
  <si>
    <t>Durchschnittliche Punkte</t>
  </si>
  <si>
    <t>a</t>
  </si>
  <si>
    <t>g</t>
  </si>
  <si>
    <t>b</t>
  </si>
  <si>
    <t>c</t>
  </si>
  <si>
    <t>d</t>
  </si>
  <si>
    <t>e</t>
  </si>
  <si>
    <t>f</t>
  </si>
  <si>
    <t>h</t>
  </si>
  <si>
    <t>Jannis</t>
  </si>
  <si>
    <t>WiSe 24/25</t>
  </si>
  <si>
    <t>370488</t>
  </si>
  <si>
    <t>Ni</t>
  </si>
  <si>
    <t>Hanwen</t>
  </si>
  <si>
    <t>383991</t>
  </si>
  <si>
    <t>Patel</t>
  </si>
  <si>
    <t>Jainil</t>
  </si>
  <si>
    <t>427427</t>
  </si>
  <si>
    <t>Shi</t>
  </si>
  <si>
    <t>Zisheng</t>
  </si>
  <si>
    <t>429554</t>
  </si>
  <si>
    <t>Liu</t>
  </si>
  <si>
    <t>Yifan</t>
  </si>
  <si>
    <t>438874</t>
  </si>
  <si>
    <t>Zhu</t>
  </si>
  <si>
    <t>Haoyuan</t>
  </si>
  <si>
    <t>439160</t>
  </si>
  <si>
    <t>Lyu</t>
  </si>
  <si>
    <t>Songhao</t>
  </si>
  <si>
    <t>439161</t>
  </si>
  <si>
    <t>Zheng</t>
  </si>
  <si>
    <t>Shixin</t>
  </si>
  <si>
    <t>439228</t>
  </si>
  <si>
    <t>Yan</t>
  </si>
  <si>
    <t>Zishuo</t>
  </si>
  <si>
    <t>441085</t>
  </si>
  <si>
    <t>Wang</t>
  </si>
  <si>
    <t>Tian</t>
  </si>
  <si>
    <t>441426</t>
  </si>
  <si>
    <t>Zhang</t>
  </si>
  <si>
    <t>Shengyang</t>
  </si>
  <si>
    <t>441437</t>
  </si>
  <si>
    <t>Na</t>
  </si>
  <si>
    <t>441447</t>
  </si>
  <si>
    <t>Yifei</t>
  </si>
  <si>
    <t>441513</t>
  </si>
  <si>
    <t>Li</t>
  </si>
  <si>
    <t>Xinyi</t>
  </si>
  <si>
    <t>441862</t>
  </si>
  <si>
    <t>Wanlin</t>
  </si>
  <si>
    <t>450567</t>
  </si>
  <si>
    <t>Xiong</t>
  </si>
  <si>
    <t>Hongyang</t>
  </si>
  <si>
    <t>450649</t>
  </si>
  <si>
    <t>Jie</t>
  </si>
  <si>
    <t>452317</t>
  </si>
  <si>
    <t>Shendi</t>
  </si>
  <si>
    <t>452322</t>
  </si>
  <si>
    <t>Muchao</t>
  </si>
  <si>
    <t>453612</t>
  </si>
  <si>
    <t>Wu</t>
  </si>
  <si>
    <t>Qinjun</t>
  </si>
  <si>
    <t>459781</t>
  </si>
  <si>
    <t>Yang</t>
  </si>
  <si>
    <t>461715</t>
  </si>
  <si>
    <t>Zhou</t>
  </si>
  <si>
    <t>461920</t>
  </si>
  <si>
    <t>Yixiang</t>
  </si>
  <si>
    <t>462073</t>
  </si>
  <si>
    <t>Su</t>
  </si>
  <si>
    <t>Hang</t>
  </si>
  <si>
    <t>462208</t>
  </si>
  <si>
    <t>He</t>
  </si>
  <si>
    <t>Hanyang</t>
  </si>
  <si>
    <t>462502</t>
  </si>
  <si>
    <t>Zihao</t>
  </si>
  <si>
    <t>463389</t>
  </si>
  <si>
    <t>Chi</t>
  </si>
  <si>
    <t>463394</t>
  </si>
  <si>
    <t>Rustemeyer</t>
  </si>
  <si>
    <t>463560</t>
  </si>
  <si>
    <t>Qi</t>
  </si>
  <si>
    <t>464265</t>
  </si>
  <si>
    <t>Jiang</t>
  </si>
  <si>
    <t>Yao</t>
  </si>
  <si>
    <t>469379</t>
  </si>
  <si>
    <t>Bi</t>
  </si>
  <si>
    <t>Zhuoran</t>
  </si>
  <si>
    <t>472644</t>
  </si>
  <si>
    <t>Qiu</t>
  </si>
  <si>
    <t>Guangrui</t>
  </si>
  <si>
    <t>A2.1</t>
  </si>
  <si>
    <t>A2.2</t>
  </si>
  <si>
    <t>i</t>
  </si>
  <si>
    <t>j</t>
  </si>
  <si>
    <t>k</t>
  </si>
  <si>
    <t>l</t>
  </si>
  <si>
    <t>Aufgabe 2.1 + 2.2</t>
  </si>
  <si>
    <t>Aufgabe 2.1</t>
  </si>
  <si>
    <t>Aufgabe 2.2</t>
  </si>
  <si>
    <t>t_RL+dt oder t_s+dt_min</t>
  </si>
  <si>
    <t>Q</t>
  </si>
  <si>
    <t>m_punkt</t>
  </si>
  <si>
    <t>t das noch fehlt</t>
  </si>
  <si>
    <t>t annahme prüfen</t>
  </si>
  <si>
    <t>Q max nutzbar</t>
  </si>
  <si>
    <t>Stromkennzahl</t>
  </si>
  <si>
    <t>m_b*H_u (primärenergiebedarf)</t>
  </si>
  <si>
    <t>elektrischer Wirkungsgrad</t>
  </si>
  <si>
    <t>Formel Gesamtkosten</t>
  </si>
  <si>
    <t>Wärmebedarf AKM</t>
  </si>
  <si>
    <t>P_el GT = Q*sigma</t>
  </si>
  <si>
    <t>P_el KKM</t>
  </si>
  <si>
    <t>P_el Netzbezug wenn KKM</t>
  </si>
  <si>
    <t>P_el Netzbezug wenn AKM</t>
  </si>
  <si>
    <t>AKM: Leistungen korrekt</t>
  </si>
  <si>
    <t>AKM: Kosten korrekt</t>
  </si>
  <si>
    <t>KKM Leistungen korrekt</t>
  </si>
  <si>
    <t>KKM Kosten korrekt</t>
  </si>
  <si>
    <t>Betriebsweise</t>
  </si>
  <si>
    <t>Gesamtkosten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</si>
</sst>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\ 000"/>
    <numFmt numFmtId="165" formatCode="0.0%"/>
  </numFmts>
  <fonts count="16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1"/>
      <color indexed="8"/>
      <name val="Calibri"/>
      <family val="2"/>
      <charset val="1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indexed="8"/>
      <name val="Arial"/>
      <family val="2"/>
    </font>
    <font>
      <sz val="12"/>
      <color theme="1"/>
      <name val="Calibri"/>
      <family val="2"/>
      <scheme val="minor"/>
    </font>
    <font>
      <b/>
      <sz val="18"/>
      <name val="Arial"/>
      <family val="2"/>
    </font>
    <font>
      <b/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0.14999847407452621"/>
        <bgColor indexed="22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6" fillId="0" borderId="0" applyFont="0" applyFill="0" applyBorder="0" applyAlignment="0" applyProtection="0"/>
  </cellStyleXfs>
  <cellXfs count="88">
    <xf numFmtId="0" fontId="0" fillId="0" borderId="0" xfId="0"/>
    <xf numFmtId="0" fontId="0" fillId="3" borderId="0" xfId="0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center"/>
    </xf>
    <xf numFmtId="164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left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left" vertical="center"/>
    </xf>
    <xf numFmtId="0" fontId="0" fillId="0" borderId="7" xfId="0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3" borderId="0" xfId="0" applyFill="1"/>
    <xf numFmtId="14" fontId="7" fillId="0" borderId="5" xfId="0" applyNumberFormat="1" applyFont="1" applyBorder="1" applyAlignment="1">
      <alignment horizontal="center"/>
    </xf>
    <xf numFmtId="0" fontId="7" fillId="0" borderId="5" xfId="0" applyFont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17" xfId="0" applyFont="1" applyFill="1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49" fontId="2" fillId="4" borderId="0" xfId="0" applyNumberFormat="1" applyFont="1" applyFill="1" applyAlignment="1">
      <alignment horizontal="center" vertical="center" textRotation="90" wrapText="1"/>
    </xf>
    <xf numFmtId="49" fontId="5" fillId="4" borderId="14" xfId="0" applyNumberFormat="1" applyFont="1" applyFill="1" applyBorder="1" applyAlignment="1">
      <alignment horizontal="center" vertical="center" textRotation="90" wrapText="1"/>
    </xf>
    <xf numFmtId="0" fontId="7" fillId="0" borderId="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5" fontId="2" fillId="0" borderId="10" xfId="2" applyNumberFormat="1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 textRotation="90" wrapText="1"/>
    </xf>
    <xf numFmtId="0" fontId="1" fillId="4" borderId="18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49" fontId="11" fillId="3" borderId="15" xfId="1" applyNumberFormat="1" applyFont="1" applyFill="1" applyBorder="1" applyAlignment="1">
      <alignment horizontal="center" vertical="center"/>
    </xf>
    <xf numFmtId="49" fontId="12" fillId="5" borderId="16" xfId="1" applyNumberFormat="1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 textRotation="90" wrapText="1"/>
    </xf>
    <xf numFmtId="0" fontId="10" fillId="3" borderId="21" xfId="0" applyFont="1" applyFill="1" applyBorder="1" applyAlignment="1">
      <alignment horizontal="center"/>
    </xf>
    <xf numFmtId="0" fontId="10" fillId="0" borderId="12" xfId="0" applyFont="1" applyBorder="1" applyAlignment="1">
      <alignment horizontal="center"/>
    </xf>
    <xf numFmtId="164" fontId="2" fillId="0" borderId="13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12" fillId="2" borderId="8" xfId="1" applyFont="1" applyFill="1" applyBorder="1" applyAlignment="1">
      <alignment horizontal="center" vertical="center"/>
    </xf>
    <xf numFmtId="0" fontId="12" fillId="2" borderId="23" xfId="1" applyFont="1" applyFill="1" applyBorder="1" applyAlignment="1">
      <alignment horizontal="center" vertical="center"/>
    </xf>
    <xf numFmtId="0" fontId="12" fillId="2" borderId="24" xfId="1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/>
    </xf>
    <xf numFmtId="0" fontId="12" fillId="2" borderId="26" xfId="1" applyFont="1" applyFill="1" applyBorder="1" applyAlignment="1">
      <alignment horizontal="center" vertical="center"/>
    </xf>
    <xf numFmtId="0" fontId="12" fillId="2" borderId="4" xfId="1" applyFont="1" applyFill="1" applyBorder="1" applyAlignment="1">
      <alignment horizontal="center" vertical="center"/>
    </xf>
    <xf numFmtId="0" fontId="10" fillId="3" borderId="27" xfId="0" applyFont="1" applyFill="1" applyBorder="1" applyAlignment="1">
      <alignment horizontal="center"/>
    </xf>
    <xf numFmtId="0" fontId="10" fillId="3" borderId="29" xfId="0" applyFont="1" applyFill="1" applyBorder="1" applyAlignment="1">
      <alignment horizontal="center"/>
    </xf>
    <xf numFmtId="0" fontId="10" fillId="3" borderId="30" xfId="0" applyFont="1" applyFill="1" applyBorder="1" applyAlignment="1">
      <alignment horizontal="center"/>
    </xf>
    <xf numFmtId="0" fontId="10" fillId="3" borderId="28" xfId="0" applyFont="1" applyFill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9" fillId="0" borderId="25" xfId="0" applyFont="1" applyBorder="1"/>
    <xf numFmtId="0" fontId="9" fillId="0" borderId="1" xfId="0" applyFont="1" applyBorder="1"/>
    <xf numFmtId="0" fontId="9" fillId="0" borderId="1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16" fontId="5" fillId="0" borderId="25" xfId="0" applyNumberFormat="1" applyFont="1" applyBorder="1" applyAlignment="1">
      <alignment horizontal="center" vertical="center" textRotation="90" wrapText="1"/>
    </xf>
    <xf numFmtId="0" fontId="5" fillId="0" borderId="1" xfId="0" applyFont="1" applyBorder="1" applyAlignment="1">
      <alignment horizontal="center" vertical="center" textRotation="90" wrapText="1"/>
    </xf>
    <xf numFmtId="0" fontId="5" fillId="0" borderId="31" xfId="0" applyFont="1" applyBorder="1" applyAlignment="1">
      <alignment horizontal="center" vertical="center" textRotation="90" wrapText="1"/>
    </xf>
    <xf numFmtId="0" fontId="5" fillId="0" borderId="32" xfId="0" applyFont="1" applyBorder="1" applyAlignment="1">
      <alignment horizontal="center" vertical="center" textRotation="90" wrapText="1"/>
    </xf>
    <xf numFmtId="0" fontId="5" fillId="0" borderId="0" xfId="0" applyFont="1" applyAlignment="1">
      <alignment horizontal="center" vertical="center" textRotation="90" wrapText="1"/>
    </xf>
    <xf numFmtId="0" fontId="8" fillId="0" borderId="0" xfId="0" applyFont="1"/>
    <xf numFmtId="0" fontId="13" fillId="0" borderId="0" xfId="0" applyFont="1"/>
    <xf numFmtId="0" fontId="15" fillId="0" borderId="0" xfId="0" applyFont="1"/>
    <xf numFmtId="0" fontId="9" fillId="0" borderId="33" xfId="0" applyFont="1" applyBorder="1" applyAlignment="1">
      <alignment horizontal="center"/>
    </xf>
    <xf numFmtId="0" fontId="12" fillId="2" borderId="34" xfId="1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/>
    </xf>
    <xf numFmtId="0" fontId="8" fillId="0" borderId="0" xfId="0" applyFont="1" applyAlignment="1">
      <alignment vertical="center"/>
    </xf>
    <xf numFmtId="16" fontId="9" fillId="0" borderId="14" xfId="0" applyNumberFormat="1" applyFont="1" applyBorder="1" applyAlignment="1">
      <alignment horizontal="center"/>
    </xf>
    <xf numFmtId="16" fontId="9" fillId="0" borderId="0" xfId="0" applyNumberFormat="1" applyFont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4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</cellXfs>
  <cellStyles count="3">
    <cellStyle name="Excel Built-in Normal" xfId="1" xr:uid="{00000000-0005-0000-0000-000000000000}"/>
    <cellStyle name="Normal" xfId="0" builtinId="0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2"/>
  <dimension ref="A1:J32"/>
  <sheetViews>
    <sheetView workbookViewId="0">
      <selection activeCell="A33" sqref="A33:XFD102"/>
    </sheetView>
  </sheetViews>
  <sheetFormatPr baseColWidth="10" defaultRowHeight="15" x14ac:dyDescent="0.2"/>
  <cols>
    <col min="1" max="1" width="11.5"/>
    <col min="2" max="2" width="15.1640625" customWidth="1"/>
    <col min="3" max="3" width="18.5" customWidth="1"/>
    <col min="4" max="4" width="16" customWidth="1"/>
    <col min="5" max="5" width="12" customWidth="1"/>
    <col min="6" max="6" width="11" customWidth="1"/>
  </cols>
  <sheetData>
    <row r="1" spans="1:10" x14ac:dyDescent="0.2">
      <c r="A1" s="67" t="s">
        <v>6</v>
      </c>
      <c r="B1" s="67" t="s">
        <v>9</v>
      </c>
      <c r="C1" s="67" t="s">
        <v>10</v>
      </c>
      <c r="D1" s="69" t="s">
        <v>8</v>
      </c>
      <c r="E1" s="69" t="s">
        <v>4</v>
      </c>
      <c r="F1" s="69" t="s">
        <v>5</v>
      </c>
    </row>
    <row r="2" spans="1:10" ht="16" x14ac:dyDescent="0.2">
      <c r="A2">
        <v>1</v>
      </c>
      <c r="B2" s="46">
        <v>0</v>
      </c>
      <c r="C2" s="68" t="str">
        <f>A2&amp;"_"&amp;B2</f>
        <v>1_0</v>
      </c>
      <c r="D2" t="s">
        <v>25</v>
      </c>
      <c r="E2" t="s">
        <v>26</v>
      </c>
      <c r="F2" t="s">
        <v>27</v>
      </c>
      <c r="I2" s="46"/>
      <c r="J2" s="46"/>
    </row>
    <row r="3" spans="1:10" ht="16" x14ac:dyDescent="0.2">
      <c r="A3">
        <v>1</v>
      </c>
      <c r="B3" s="46">
        <v>1</v>
      </c>
      <c r="C3" s="68" t="str">
        <f t="shared" ref="C3:C11" si="0">A3&amp;"_"&amp;B3</f>
        <v>1_1</v>
      </c>
      <c r="D3" t="s">
        <v>28</v>
      </c>
      <c r="E3" t="s">
        <v>29</v>
      </c>
      <c r="F3" t="s">
        <v>30</v>
      </c>
      <c r="I3" s="46"/>
      <c r="J3" s="46"/>
    </row>
    <row r="4" spans="1:10" ht="16" x14ac:dyDescent="0.2">
      <c r="A4">
        <v>1</v>
      </c>
      <c r="B4" s="46">
        <v>2</v>
      </c>
      <c r="C4" s="68" t="str">
        <f t="shared" si="0"/>
        <v>1_2</v>
      </c>
      <c r="D4" t="s">
        <v>31</v>
      </c>
      <c r="E4" t="s">
        <v>32</v>
      </c>
      <c r="F4" t="s">
        <v>33</v>
      </c>
      <c r="I4" s="46"/>
      <c r="J4" s="46"/>
    </row>
    <row r="5" spans="1:10" ht="16" x14ac:dyDescent="0.2">
      <c r="A5">
        <v>1</v>
      </c>
      <c r="B5" s="46">
        <v>3</v>
      </c>
      <c r="C5" s="68" t="str">
        <f t="shared" si="0"/>
        <v>1_3</v>
      </c>
      <c r="D5" t="s">
        <v>34</v>
      </c>
      <c r="E5" t="s">
        <v>35</v>
      </c>
      <c r="F5" t="s">
        <v>36</v>
      </c>
      <c r="I5" s="46"/>
      <c r="J5" s="46"/>
    </row>
    <row r="6" spans="1:10" ht="16" x14ac:dyDescent="0.2">
      <c r="A6">
        <v>1</v>
      </c>
      <c r="B6" s="46">
        <v>4</v>
      </c>
      <c r="C6" s="68" t="str">
        <f t="shared" si="0"/>
        <v>1_4</v>
      </c>
      <c r="D6" t="s">
        <v>37</v>
      </c>
      <c r="E6" t="s">
        <v>38</v>
      </c>
      <c r="F6" t="s">
        <v>39</v>
      </c>
      <c r="I6" s="46"/>
      <c r="J6" s="46"/>
    </row>
    <row r="7" spans="1:10" ht="16" x14ac:dyDescent="0.2">
      <c r="A7">
        <v>2</v>
      </c>
      <c r="B7" s="46">
        <v>0</v>
      </c>
      <c r="C7" s="68" t="str">
        <f t="shared" si="0"/>
        <v>2_0</v>
      </c>
      <c r="D7" t="s">
        <v>40</v>
      </c>
      <c r="E7" t="s">
        <v>41</v>
      </c>
      <c r="F7" t="s">
        <v>42</v>
      </c>
      <c r="I7" s="46"/>
      <c r="J7" s="46"/>
    </row>
    <row r="8" spans="1:10" ht="16" x14ac:dyDescent="0.2">
      <c r="A8">
        <v>2</v>
      </c>
      <c r="B8" s="46">
        <v>1</v>
      </c>
      <c r="C8" s="68" t="str">
        <f t="shared" si="0"/>
        <v>2_1</v>
      </c>
      <c r="D8" t="s">
        <v>43</v>
      </c>
      <c r="E8" t="s">
        <v>44</v>
      </c>
      <c r="F8" t="s">
        <v>45</v>
      </c>
      <c r="I8" s="46"/>
      <c r="J8" s="46"/>
    </row>
    <row r="9" spans="1:10" ht="16" x14ac:dyDescent="0.2">
      <c r="A9">
        <v>2</v>
      </c>
      <c r="B9" s="46">
        <v>2</v>
      </c>
      <c r="C9" s="68" t="str">
        <f t="shared" si="0"/>
        <v>2_2</v>
      </c>
      <c r="D9" t="s">
        <v>46</v>
      </c>
      <c r="E9" t="s">
        <v>47</v>
      </c>
      <c r="F9" t="s">
        <v>48</v>
      </c>
      <c r="I9" s="46"/>
      <c r="J9" s="46"/>
    </row>
    <row r="10" spans="1:10" ht="16" x14ac:dyDescent="0.2">
      <c r="A10">
        <v>2</v>
      </c>
      <c r="B10" s="46">
        <v>3</v>
      </c>
      <c r="C10" s="68" t="str">
        <f t="shared" si="0"/>
        <v>2_3</v>
      </c>
      <c r="D10" t="s">
        <v>49</v>
      </c>
      <c r="E10" t="s">
        <v>50</v>
      </c>
      <c r="F10" t="s">
        <v>51</v>
      </c>
      <c r="I10" s="46"/>
      <c r="J10" s="46"/>
    </row>
    <row r="11" spans="1:10" ht="16" x14ac:dyDescent="0.2">
      <c r="A11">
        <v>2</v>
      </c>
      <c r="B11" s="46">
        <v>4</v>
      </c>
      <c r="C11" s="68" t="str">
        <f t="shared" si="0"/>
        <v>2_4</v>
      </c>
      <c r="D11" t="s">
        <v>52</v>
      </c>
      <c r="E11" t="s">
        <v>53</v>
      </c>
      <c r="F11" t="s">
        <v>54</v>
      </c>
      <c r="I11" s="46"/>
      <c r="J11" s="46"/>
    </row>
    <row r="12" spans="1:10" ht="16" x14ac:dyDescent="0.2">
      <c r="A12">
        <v>3</v>
      </c>
      <c r="B12" s="46">
        <v>0</v>
      </c>
      <c r="C12" s="68" t="str">
        <f>A12&amp;"_"&amp;B12</f>
        <v>3_0</v>
      </c>
      <c r="D12" t="s">
        <v>55</v>
      </c>
      <c r="E12" t="s">
        <v>53</v>
      </c>
      <c r="F12" t="s">
        <v>56</v>
      </c>
    </row>
    <row r="13" spans="1:10" ht="16" x14ac:dyDescent="0.2">
      <c r="A13">
        <v>3</v>
      </c>
      <c r="B13" s="46">
        <v>1</v>
      </c>
      <c r="C13" s="68" t="str">
        <f t="shared" ref="C13:C21" si="1">A13&amp;"_"&amp;B13</f>
        <v>3_1</v>
      </c>
      <c r="D13" t="s">
        <v>57</v>
      </c>
      <c r="E13" t="s">
        <v>38</v>
      </c>
      <c r="F13" t="s">
        <v>58</v>
      </c>
    </row>
    <row r="14" spans="1:10" ht="16" x14ac:dyDescent="0.2">
      <c r="A14">
        <v>3</v>
      </c>
      <c r="B14" s="46">
        <v>2</v>
      </c>
      <c r="C14" s="68" t="str">
        <f t="shared" si="1"/>
        <v>3_2</v>
      </c>
      <c r="D14" t="s">
        <v>59</v>
      </c>
      <c r="E14" t="s">
        <v>60</v>
      </c>
      <c r="F14" t="s">
        <v>61</v>
      </c>
    </row>
    <row r="15" spans="1:10" ht="16" x14ac:dyDescent="0.2">
      <c r="A15">
        <v>3</v>
      </c>
      <c r="B15" s="46">
        <v>3</v>
      </c>
      <c r="C15" s="68" t="str">
        <f t="shared" si="1"/>
        <v>3_3</v>
      </c>
      <c r="D15" t="s">
        <v>62</v>
      </c>
      <c r="E15" t="s">
        <v>60</v>
      </c>
      <c r="F15" t="s">
        <v>63</v>
      </c>
    </row>
    <row r="16" spans="1:10" ht="16" x14ac:dyDescent="0.2">
      <c r="A16">
        <v>3</v>
      </c>
      <c r="B16" s="46">
        <v>4</v>
      </c>
      <c r="C16" s="68" t="str">
        <f t="shared" si="1"/>
        <v>3_4</v>
      </c>
      <c r="D16" t="s">
        <v>64</v>
      </c>
      <c r="E16" t="s">
        <v>65</v>
      </c>
      <c r="F16" t="s">
        <v>66</v>
      </c>
    </row>
    <row r="17" spans="1:6" ht="16" x14ac:dyDescent="0.2">
      <c r="A17">
        <v>4</v>
      </c>
      <c r="B17" s="46">
        <v>0</v>
      </c>
      <c r="C17" s="68" t="str">
        <f t="shared" si="1"/>
        <v>4_0</v>
      </c>
      <c r="D17" t="s">
        <v>67</v>
      </c>
      <c r="E17" t="s">
        <v>53</v>
      </c>
      <c r="F17" t="s">
        <v>68</v>
      </c>
    </row>
    <row r="18" spans="1:6" ht="16" x14ac:dyDescent="0.2">
      <c r="A18">
        <v>4</v>
      </c>
      <c r="B18" s="46">
        <v>1</v>
      </c>
      <c r="C18" s="68" t="str">
        <f t="shared" si="1"/>
        <v>4_1</v>
      </c>
      <c r="D18" t="s">
        <v>69</v>
      </c>
      <c r="E18" t="s">
        <v>50</v>
      </c>
      <c r="F18" t="s">
        <v>70</v>
      </c>
    </row>
    <row r="19" spans="1:6" ht="16" x14ac:dyDescent="0.2">
      <c r="A19">
        <v>4</v>
      </c>
      <c r="B19" s="46">
        <v>2</v>
      </c>
      <c r="C19" s="68" t="str">
        <f t="shared" si="1"/>
        <v>4_2</v>
      </c>
      <c r="D19" t="s">
        <v>71</v>
      </c>
      <c r="E19" t="s">
        <v>35</v>
      </c>
      <c r="F19" t="s">
        <v>72</v>
      </c>
    </row>
    <row r="20" spans="1:6" ht="16" x14ac:dyDescent="0.2">
      <c r="A20">
        <v>4</v>
      </c>
      <c r="B20" s="46">
        <v>3</v>
      </c>
      <c r="C20" s="68" t="str">
        <f t="shared" si="1"/>
        <v>4_3</v>
      </c>
      <c r="D20" t="s">
        <v>73</v>
      </c>
      <c r="E20" t="s">
        <v>74</v>
      </c>
      <c r="F20" t="s">
        <v>75</v>
      </c>
    </row>
    <row r="21" spans="1:6" ht="16" x14ac:dyDescent="0.2">
      <c r="A21">
        <v>4</v>
      </c>
      <c r="B21" s="46">
        <v>4</v>
      </c>
      <c r="C21" s="68" t="str">
        <f t="shared" si="1"/>
        <v>4_4</v>
      </c>
      <c r="D21" t="s">
        <v>76</v>
      </c>
      <c r="E21" t="s">
        <v>53</v>
      </c>
      <c r="F21" t="s">
        <v>77</v>
      </c>
    </row>
    <row r="22" spans="1:6" ht="16" x14ac:dyDescent="0.2">
      <c r="A22">
        <v>5</v>
      </c>
      <c r="B22" s="46">
        <v>0</v>
      </c>
      <c r="C22" s="68" t="str">
        <f>A22&amp;"_"&amp;B22</f>
        <v>5_0</v>
      </c>
      <c r="D22" t="s">
        <v>78</v>
      </c>
      <c r="E22" t="s">
        <v>53</v>
      </c>
      <c r="F22" t="s">
        <v>79</v>
      </c>
    </row>
    <row r="23" spans="1:6" ht="16" x14ac:dyDescent="0.2">
      <c r="A23">
        <v>5</v>
      </c>
      <c r="B23" s="46">
        <v>1</v>
      </c>
      <c r="C23" s="68" t="str">
        <f t="shared" ref="C23:C31" si="2">A23&amp;"_"&amp;B23</f>
        <v>5_1</v>
      </c>
      <c r="D23" t="s">
        <v>80</v>
      </c>
      <c r="E23" t="s">
        <v>50</v>
      </c>
      <c r="F23" t="s">
        <v>81</v>
      </c>
    </row>
    <row r="24" spans="1:6" ht="16" x14ac:dyDescent="0.2">
      <c r="A24">
        <v>5</v>
      </c>
      <c r="B24" s="46">
        <v>2</v>
      </c>
      <c r="C24" s="68" t="str">
        <f t="shared" si="2"/>
        <v>5_2</v>
      </c>
      <c r="D24" t="s">
        <v>82</v>
      </c>
      <c r="E24" t="s">
        <v>83</v>
      </c>
      <c r="F24" t="s">
        <v>84</v>
      </c>
    </row>
    <row r="25" spans="1:6" ht="16" x14ac:dyDescent="0.2">
      <c r="A25">
        <v>5</v>
      </c>
      <c r="B25" s="46">
        <v>3</v>
      </c>
      <c r="C25" s="68" t="str">
        <f t="shared" si="2"/>
        <v>5_3</v>
      </c>
      <c r="D25" t="s">
        <v>85</v>
      </c>
      <c r="E25" t="s">
        <v>86</v>
      </c>
      <c r="F25" t="s">
        <v>87</v>
      </c>
    </row>
    <row r="26" spans="1:6" ht="16" x14ac:dyDescent="0.2">
      <c r="A26">
        <v>5</v>
      </c>
      <c r="B26" s="46">
        <v>4</v>
      </c>
      <c r="C26" s="68" t="str">
        <f t="shared" si="2"/>
        <v>5_4</v>
      </c>
      <c r="D26" t="s">
        <v>88</v>
      </c>
      <c r="E26" t="s">
        <v>60</v>
      </c>
      <c r="F26" t="s">
        <v>89</v>
      </c>
    </row>
    <row r="27" spans="1:6" ht="16" x14ac:dyDescent="0.2">
      <c r="A27">
        <v>6</v>
      </c>
      <c r="B27" s="46">
        <v>0</v>
      </c>
      <c r="C27" s="68" t="str">
        <f t="shared" si="2"/>
        <v>6_0</v>
      </c>
      <c r="D27" t="s">
        <v>90</v>
      </c>
      <c r="E27" t="s">
        <v>91</v>
      </c>
      <c r="F27" t="s">
        <v>60</v>
      </c>
    </row>
    <row r="28" spans="1:6" ht="16" x14ac:dyDescent="0.2">
      <c r="A28">
        <v>6</v>
      </c>
      <c r="B28" s="46">
        <v>1</v>
      </c>
      <c r="C28" s="68" t="str">
        <f t="shared" si="2"/>
        <v>6_1</v>
      </c>
      <c r="D28" t="s">
        <v>92</v>
      </c>
      <c r="E28" t="s">
        <v>93</v>
      </c>
      <c r="F28" t="s">
        <v>23</v>
      </c>
    </row>
    <row r="29" spans="1:6" ht="16" x14ac:dyDescent="0.2">
      <c r="A29">
        <v>6</v>
      </c>
      <c r="B29" s="46">
        <v>2</v>
      </c>
      <c r="C29" s="68" t="str">
        <f t="shared" si="2"/>
        <v>6_2</v>
      </c>
      <c r="D29" t="s">
        <v>94</v>
      </c>
      <c r="E29" t="s">
        <v>86</v>
      </c>
      <c r="F29" t="s">
        <v>95</v>
      </c>
    </row>
    <row r="30" spans="1:6" ht="16" x14ac:dyDescent="0.2">
      <c r="A30">
        <v>6</v>
      </c>
      <c r="B30" s="46">
        <v>3</v>
      </c>
      <c r="C30" s="68" t="str">
        <f t="shared" si="2"/>
        <v>6_3</v>
      </c>
      <c r="D30" t="s">
        <v>96</v>
      </c>
      <c r="E30" t="s">
        <v>97</v>
      </c>
      <c r="F30" t="s">
        <v>98</v>
      </c>
    </row>
    <row r="31" spans="1:6" ht="16" x14ac:dyDescent="0.2">
      <c r="A31">
        <v>6</v>
      </c>
      <c r="B31" s="46">
        <v>4</v>
      </c>
      <c r="C31" s="68" t="str">
        <f t="shared" si="2"/>
        <v>6_4</v>
      </c>
      <c r="D31" t="s">
        <v>99</v>
      </c>
      <c r="E31" t="s">
        <v>100</v>
      </c>
      <c r="F31" t="s">
        <v>101</v>
      </c>
    </row>
    <row r="32" spans="1:6" ht="16" x14ac:dyDescent="0.2">
      <c r="A32">
        <v>7</v>
      </c>
      <c r="B32" s="46">
        <v>0</v>
      </c>
      <c r="C32" s="68" t="str">
        <f>A32&amp;"_"&amp;B32</f>
        <v>7_0</v>
      </c>
      <c r="D32" t="s">
        <v>102</v>
      </c>
      <c r="E32" t="s">
        <v>103</v>
      </c>
      <c r="F32" t="s">
        <v>104</v>
      </c>
    </row>
  </sheetData>
  <customSheetViews>
    <customSheetView guid="{3174DBA0-7C4D-4C95-8420-DC829DEAC464}">
      <selection activeCell="A297" sqref="A297:F301"/>
      <pageMargins left="0.7" right="0.7" top="0.78740157499999996" bottom="0.78740157499999996" header="0.3" footer="0.3"/>
    </customSheetView>
  </customSheetView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AD331"/>
  <sheetViews>
    <sheetView zoomScale="124" zoomScaleNormal="90" workbookViewId="0">
      <selection activeCell="E16" sqref="E16"/>
    </sheetView>
  </sheetViews>
  <sheetFormatPr baseColWidth="10" defaultColWidth="9.1640625" defaultRowHeight="15" x14ac:dyDescent="0.2"/>
  <cols>
    <col min="1" max="1" width="5.5" style="4" customWidth="1"/>
    <col min="2" max="2" width="17.6640625" style="4" customWidth="1"/>
    <col min="3" max="3" width="31.6640625" customWidth="1"/>
    <col min="4" max="4" width="32.1640625" customWidth="1"/>
    <col min="5" max="5" width="8.1640625" style="16" customWidth="1"/>
    <col min="6" max="6" width="5" style="6" customWidth="1"/>
    <col min="7" max="7" width="4.1640625" style="1" customWidth="1"/>
    <col min="8" max="8" width="4.1640625" style="2" customWidth="1"/>
    <col min="9" max="16" width="4" style="4" customWidth="1"/>
    <col min="17" max="17" width="5" style="4" customWidth="1"/>
    <col min="18" max="18" width="4" style="4" customWidth="1"/>
    <col min="19" max="19" width="3.83203125" style="4" customWidth="1"/>
    <col min="20" max="30" width="4" style="4" customWidth="1"/>
    <col min="31" max="74" width="9.1640625" customWidth="1"/>
  </cols>
  <sheetData>
    <row r="1" spans="1:30" ht="26.25" customHeight="1" thickBot="1" x14ac:dyDescent="0.3">
      <c r="A1" s="78" t="s">
        <v>24</v>
      </c>
      <c r="B1" s="79"/>
      <c r="C1" s="79"/>
      <c r="D1" s="79"/>
      <c r="E1" s="79"/>
      <c r="F1" s="86" t="s">
        <v>7</v>
      </c>
      <c r="G1" s="87"/>
      <c r="H1" s="87"/>
      <c r="I1" s="58"/>
      <c r="J1" s="59"/>
      <c r="K1" s="59"/>
      <c r="L1" s="59"/>
      <c r="M1" s="59"/>
      <c r="N1" s="59"/>
      <c r="O1" s="59"/>
      <c r="P1" s="59"/>
      <c r="Q1" s="59"/>
      <c r="R1" s="59"/>
      <c r="S1" s="61"/>
      <c r="T1" s="60"/>
      <c r="U1" s="60"/>
      <c r="V1" s="60"/>
      <c r="W1" s="60"/>
      <c r="X1" s="60"/>
      <c r="Y1" s="60"/>
      <c r="Z1" s="60"/>
      <c r="AA1" s="60"/>
      <c r="AB1" s="60"/>
      <c r="AC1" s="60"/>
      <c r="AD1" s="70"/>
    </row>
    <row r="2" spans="1:30" ht="30" customHeight="1" thickBot="1" x14ac:dyDescent="0.3">
      <c r="A2" s="84" t="s">
        <v>11</v>
      </c>
      <c r="B2" s="85"/>
      <c r="C2" s="17">
        <v>45520</v>
      </c>
      <c r="D2" s="18" t="s">
        <v>6</v>
      </c>
      <c r="E2" s="18">
        <v>5</v>
      </c>
      <c r="F2" s="76"/>
      <c r="G2" s="77"/>
      <c r="H2" s="77"/>
      <c r="I2" s="74" t="s">
        <v>105</v>
      </c>
      <c r="J2" s="75"/>
      <c r="K2" s="75"/>
      <c r="L2" s="75"/>
      <c r="M2" s="75"/>
      <c r="N2" s="75"/>
      <c r="O2" s="75"/>
      <c r="P2" s="75"/>
      <c r="Q2" s="75"/>
      <c r="R2" s="75"/>
      <c r="S2" s="76" t="s">
        <v>106</v>
      </c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</row>
    <row r="3" spans="1:30" ht="148.5" customHeight="1" thickBot="1" x14ac:dyDescent="0.25">
      <c r="A3" s="24"/>
      <c r="B3" s="32"/>
      <c r="C3" s="33"/>
      <c r="D3" s="32"/>
      <c r="E3" s="34" t="s">
        <v>0</v>
      </c>
      <c r="F3" s="30" t="s">
        <v>111</v>
      </c>
      <c r="G3" s="29" t="s">
        <v>112</v>
      </c>
      <c r="H3" s="29" t="s">
        <v>113</v>
      </c>
      <c r="I3" s="62" t="s">
        <v>114</v>
      </c>
      <c r="J3" s="63" t="s">
        <v>115</v>
      </c>
      <c r="K3" s="63" t="s">
        <v>116</v>
      </c>
      <c r="L3" s="63" t="s">
        <v>115</v>
      </c>
      <c r="M3" s="63" t="s">
        <v>117</v>
      </c>
      <c r="N3" s="63" t="s">
        <v>118</v>
      </c>
      <c r="O3" s="63" t="s">
        <v>119</v>
      </c>
      <c r="P3" s="63" t="s">
        <v>120</v>
      </c>
      <c r="Q3" s="63" t="s">
        <v>121</v>
      </c>
      <c r="R3" s="63" t="s">
        <v>122</v>
      </c>
      <c r="S3" s="64" t="s">
        <v>123</v>
      </c>
      <c r="T3" s="65" t="s">
        <v>124</v>
      </c>
      <c r="U3" s="66" t="s">
        <v>125</v>
      </c>
      <c r="V3" s="66" t="s">
        <v>128</v>
      </c>
      <c r="W3" s="66" t="s">
        <v>126</v>
      </c>
      <c r="X3" s="66" t="s">
        <v>127</v>
      </c>
      <c r="Y3" s="66" t="s">
        <v>129</v>
      </c>
      <c r="Z3" s="66" t="s">
        <v>130</v>
      </c>
      <c r="AA3" s="66" t="s">
        <v>131</v>
      </c>
      <c r="AB3" s="66" t="s">
        <v>132</v>
      </c>
      <c r="AC3" s="66" t="s">
        <v>133</v>
      </c>
      <c r="AD3" s="66" t="s">
        <v>134</v>
      </c>
    </row>
    <row r="4" spans="1:30" s="73" customFormat="1" ht="21" customHeight="1" thickBot="1" x14ac:dyDescent="0.25">
      <c r="A4" s="31" t="s">
        <v>12</v>
      </c>
      <c r="B4" s="35" t="s">
        <v>2</v>
      </c>
      <c r="C4" s="36" t="s">
        <v>4</v>
      </c>
      <c r="D4" s="39" t="s">
        <v>5</v>
      </c>
      <c r="E4" s="40"/>
      <c r="F4" s="37" t="s">
        <v>3</v>
      </c>
      <c r="G4" s="38" t="s">
        <v>1</v>
      </c>
      <c r="H4" s="38" t="s">
        <v>1</v>
      </c>
      <c r="I4" s="47" t="s">
        <v>15</v>
      </c>
      <c r="J4" s="48" t="s">
        <v>17</v>
      </c>
      <c r="K4" s="49" t="s">
        <v>18</v>
      </c>
      <c r="L4" s="49" t="s">
        <v>19</v>
      </c>
      <c r="M4" s="49" t="s">
        <v>20</v>
      </c>
      <c r="N4" s="49" t="s">
        <v>21</v>
      </c>
      <c r="O4" s="49" t="s">
        <v>16</v>
      </c>
      <c r="P4" s="49" t="s">
        <v>22</v>
      </c>
      <c r="Q4" s="49" t="s">
        <v>107</v>
      </c>
      <c r="R4" s="49" t="s">
        <v>108</v>
      </c>
      <c r="S4" s="51" t="s">
        <v>15</v>
      </c>
      <c r="T4" s="52" t="s">
        <v>17</v>
      </c>
      <c r="U4" s="52" t="s">
        <v>18</v>
      </c>
      <c r="V4" s="52" t="s">
        <v>19</v>
      </c>
      <c r="W4" s="52" t="s">
        <v>20</v>
      </c>
      <c r="X4" s="52" t="s">
        <v>21</v>
      </c>
      <c r="Y4" s="52" t="s">
        <v>16</v>
      </c>
      <c r="Z4" s="52" t="s">
        <v>22</v>
      </c>
      <c r="AA4" s="52" t="s">
        <v>107</v>
      </c>
      <c r="AB4" s="52" t="s">
        <v>108</v>
      </c>
      <c r="AC4" s="52" t="s">
        <v>109</v>
      </c>
      <c r="AD4" s="71" t="s">
        <v>110</v>
      </c>
    </row>
    <row r="5" spans="1:30" ht="15.75" customHeight="1" x14ac:dyDescent="0.2">
      <c r="A5" s="80" t="s">
        <v>13</v>
      </c>
      <c r="B5" s="81"/>
      <c r="C5" s="81"/>
      <c r="D5" s="81"/>
      <c r="E5" s="81"/>
      <c r="F5" s="20">
        <f t="shared" ref="F5:F11" si="0">SUM(G5:H5)</f>
        <v>22</v>
      </c>
      <c r="G5" s="21">
        <f>SUM(I5:R5)</f>
        <v>10</v>
      </c>
      <c r="H5" s="21">
        <f>SUM(S5:AD5)</f>
        <v>12</v>
      </c>
      <c r="I5" s="41">
        <v>1</v>
      </c>
      <c r="J5" s="27">
        <v>1</v>
      </c>
      <c r="K5" s="27">
        <v>1</v>
      </c>
      <c r="L5" s="27">
        <v>1</v>
      </c>
      <c r="M5" s="27">
        <v>1</v>
      </c>
      <c r="N5" s="27">
        <v>1</v>
      </c>
      <c r="O5" s="27">
        <v>1</v>
      </c>
      <c r="P5" s="27">
        <v>1</v>
      </c>
      <c r="Q5" s="27">
        <v>1</v>
      </c>
      <c r="R5" s="19">
        <v>1</v>
      </c>
      <c r="S5" s="53">
        <v>1</v>
      </c>
      <c r="T5" s="50">
        <v>1</v>
      </c>
      <c r="U5" s="50">
        <v>1</v>
      </c>
      <c r="V5" s="50">
        <v>1</v>
      </c>
      <c r="W5" s="50">
        <v>1</v>
      </c>
      <c r="X5" s="50">
        <v>1</v>
      </c>
      <c r="Y5" s="50">
        <v>1</v>
      </c>
      <c r="Z5" s="50">
        <v>1</v>
      </c>
      <c r="AA5" s="50">
        <v>1</v>
      </c>
      <c r="AB5" s="50">
        <v>1</v>
      </c>
      <c r="AC5" s="50">
        <v>1</v>
      </c>
      <c r="AD5" s="72">
        <v>1</v>
      </c>
    </row>
    <row r="6" spans="1:30" ht="17" thickBot="1" x14ac:dyDescent="0.25">
      <c r="A6" s="82" t="s">
        <v>14</v>
      </c>
      <c r="B6" s="83"/>
      <c r="C6" s="83"/>
      <c r="D6" s="83"/>
      <c r="E6" s="83"/>
      <c r="F6" s="25">
        <f t="shared" si="0"/>
        <v>0</v>
      </c>
      <c r="G6" s="26">
        <f>SUM(I6:T6)</f>
        <v>0</v>
      </c>
      <c r="H6" s="26">
        <f>SUM(AC6:AD6)</f>
        <v>0</v>
      </c>
      <c r="I6" s="54">
        <f>AVERAGE(I7:I292)</f>
        <v>0</v>
      </c>
      <c r="J6" s="55">
        <f t="shared" ref="J6:AD6" si="1">AVERAGE(J7:J292)</f>
        <v>0</v>
      </c>
      <c r="K6" s="55">
        <f t="shared" si="1"/>
        <v>0</v>
      </c>
      <c r="L6" s="55">
        <f t="shared" si="1"/>
        <v>0</v>
      </c>
      <c r="M6" s="55">
        <f t="shared" si="1"/>
        <v>0</v>
      </c>
      <c r="N6" s="55">
        <f t="shared" si="1"/>
        <v>0</v>
      </c>
      <c r="O6" s="55">
        <f t="shared" si="1"/>
        <v>0</v>
      </c>
      <c r="P6" s="55">
        <f t="shared" si="1"/>
        <v>0</v>
      </c>
      <c r="Q6" s="56">
        <f t="shared" si="1"/>
        <v>0</v>
      </c>
      <c r="R6" s="56">
        <f t="shared" si="1"/>
        <v>0</v>
      </c>
      <c r="S6" s="53">
        <f t="shared" si="1"/>
        <v>0</v>
      </c>
      <c r="T6" s="50">
        <f t="shared" si="1"/>
        <v>0</v>
      </c>
      <c r="U6" s="50">
        <f t="shared" si="1"/>
        <v>0</v>
      </c>
      <c r="V6" s="50">
        <f t="shared" si="1"/>
        <v>0</v>
      </c>
      <c r="W6" s="50">
        <f t="shared" si="1"/>
        <v>0</v>
      </c>
      <c r="X6" s="50">
        <f t="shared" si="1"/>
        <v>0</v>
      </c>
      <c r="Y6" s="50">
        <f t="shared" si="1"/>
        <v>0</v>
      </c>
      <c r="Z6" s="50">
        <f t="shared" si="1"/>
        <v>0</v>
      </c>
      <c r="AA6" s="50">
        <f t="shared" si="1"/>
        <v>0</v>
      </c>
      <c r="AB6" s="50">
        <f t="shared" si="1"/>
        <v>0</v>
      </c>
      <c r="AC6" s="50">
        <f t="shared" si="1"/>
        <v>0</v>
      </c>
      <c r="AD6" s="72">
        <f t="shared" si="1"/>
        <v>0</v>
      </c>
    </row>
    <row r="7" spans="1:30" ht="17" thickBot="1" x14ac:dyDescent="0.25">
      <c r="A7" s="42">
        <v>0</v>
      </c>
      <c r="B7" s="43" t="str">
        <f>VLOOKUP($E$2&amp;"_"&amp;$A7,Studenten!$C$2:$F$691,2,FALSE)</f>
        <v>461715</v>
      </c>
      <c r="C7" s="43" t="str">
        <f>VLOOKUP($E$2&amp;"_"&amp;$A7,Studenten!$C$2:$F$691,3,FALSE)</f>
        <v>Zhang</v>
      </c>
      <c r="D7" s="44" t="str">
        <f>VLOOKUP($E$2&amp;"_"&amp;$A7,Studenten!$C$2:$F$691,4,FALSE)</f>
        <v>Zhou</v>
      </c>
      <c r="E7" s="28"/>
      <c r="F7" s="22">
        <f t="shared" si="0"/>
        <v>0</v>
      </c>
      <c r="G7" s="23">
        <f t="shared" ref="G7:G11" si="2">SUM(I7:R7)</f>
        <v>0</v>
      </c>
      <c r="H7" s="23">
        <f t="shared" ref="H7:H11" si="3">SUM(S7:AD7)</f>
        <v>0</v>
      </c>
      <c r="I7" s="57">
        <v>0</v>
      </c>
      <c r="J7" s="57">
        <v>0</v>
      </c>
      <c r="K7" s="57">
        <v>0</v>
      </c>
      <c r="L7" s="57">
        <v>0</v>
      </c>
      <c r="M7" s="57">
        <v>0</v>
      </c>
      <c r="N7" s="57">
        <v>0</v>
      </c>
      <c r="O7" s="57">
        <v>0</v>
      </c>
      <c r="P7" s="57">
        <v>0</v>
      </c>
      <c r="Q7" s="57">
        <v>0</v>
      </c>
      <c r="R7" s="57">
        <v>0</v>
      </c>
      <c r="S7" s="57">
        <v>0</v>
      </c>
      <c r="T7" s="57">
        <v>0</v>
      </c>
      <c r="U7" s="57">
        <v>0</v>
      </c>
      <c r="V7" s="57">
        <v>0</v>
      </c>
      <c r="W7" s="57">
        <v>0</v>
      </c>
      <c r="X7" s="57">
        <v>0</v>
      </c>
      <c r="Y7" s="57">
        <v>0</v>
      </c>
      <c r="Z7" s="57">
        <v>0</v>
      </c>
      <c r="AA7" s="57">
        <v>0</v>
      </c>
      <c r="AB7" s="57">
        <v>0</v>
      </c>
      <c r="AC7" s="57">
        <v>0</v>
      </c>
      <c r="AD7" s="57">
        <v>0</v>
      </c>
    </row>
    <row r="8" spans="1:30" ht="17" thickBot="1" x14ac:dyDescent="0.25">
      <c r="A8" s="24">
        <v>1</v>
      </c>
      <c r="B8" s="9" t="str">
        <f>VLOOKUP($E$2&amp;"_"&amp;$A8,Studenten!$C$2:$F$691,2,FALSE)</f>
        <v>461920</v>
      </c>
      <c r="C8" s="9" t="str">
        <f>VLOOKUP($E$2&amp;"_"&amp;$A8,Studenten!$C$2:$F$691,3,FALSE)</f>
        <v>Wang</v>
      </c>
      <c r="D8" s="45" t="str">
        <f>VLOOKUP($E$2&amp;"_"&amp;$A8,Studenten!$C$2:$F$691,4,FALSE)</f>
        <v>Yixiang</v>
      </c>
      <c r="E8" s="28"/>
      <c r="F8" s="22">
        <f t="shared" si="0"/>
        <v>0</v>
      </c>
      <c r="G8" s="23">
        <f t="shared" si="2"/>
        <v>0</v>
      </c>
      <c r="H8" s="23">
        <f t="shared" si="3"/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v>0</v>
      </c>
      <c r="Q8" s="57">
        <v>0</v>
      </c>
      <c r="R8" s="57">
        <v>0</v>
      </c>
      <c r="S8" s="57">
        <v>0</v>
      </c>
      <c r="T8" s="57">
        <v>0</v>
      </c>
      <c r="U8" s="57">
        <v>0</v>
      </c>
      <c r="V8" s="57">
        <v>0</v>
      </c>
      <c r="W8" s="57">
        <v>0</v>
      </c>
      <c r="X8" s="57">
        <v>0</v>
      </c>
      <c r="Y8" s="57">
        <v>0</v>
      </c>
      <c r="Z8" s="57">
        <v>0</v>
      </c>
      <c r="AA8" s="57">
        <v>0</v>
      </c>
      <c r="AB8" s="57">
        <v>0</v>
      </c>
      <c r="AC8" s="57">
        <v>0</v>
      </c>
      <c r="AD8" s="57">
        <v>0</v>
      </c>
    </row>
    <row r="9" spans="1:30" ht="17" thickBot="1" x14ac:dyDescent="0.25">
      <c r="A9" s="24">
        <v>2</v>
      </c>
      <c r="B9" s="9" t="str">
        <f>VLOOKUP($E$2&amp;"_"&amp;$A9,Studenten!$C$2:$F$691,2,FALSE)</f>
        <v>462073</v>
      </c>
      <c r="C9" s="9" t="str">
        <f>VLOOKUP($E$2&amp;"_"&amp;$A9,Studenten!$C$2:$F$691,3,FALSE)</f>
        <v>Su</v>
      </c>
      <c r="D9" s="45" t="str">
        <f>VLOOKUP($E$2&amp;"_"&amp;$A9,Studenten!$C$2:$F$691,4,FALSE)</f>
        <v>Hang</v>
      </c>
      <c r="E9" s="28"/>
      <c r="F9" s="22">
        <f t="shared" si="0"/>
        <v>0</v>
      </c>
      <c r="G9" s="23">
        <f t="shared" si="2"/>
        <v>0</v>
      </c>
      <c r="H9" s="23">
        <f t="shared" si="3"/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v>0</v>
      </c>
      <c r="Q9" s="57">
        <v>0</v>
      </c>
      <c r="R9" s="57">
        <v>0</v>
      </c>
      <c r="S9" s="57">
        <v>0</v>
      </c>
      <c r="T9" s="57">
        <v>0</v>
      </c>
      <c r="U9" s="57">
        <v>0</v>
      </c>
      <c r="V9" s="57">
        <v>0</v>
      </c>
      <c r="W9" s="57">
        <v>0</v>
      </c>
      <c r="X9" s="57">
        <v>0</v>
      </c>
      <c r="Y9" s="57">
        <v>0</v>
      </c>
      <c r="Z9" s="57">
        <v>0</v>
      </c>
      <c r="AA9" s="57">
        <v>0</v>
      </c>
      <c r="AB9" s="57">
        <v>0</v>
      </c>
      <c r="AC9" s="57">
        <v>0</v>
      </c>
      <c r="AD9" s="57">
        <v>0</v>
      </c>
    </row>
    <row r="10" spans="1:30" ht="17" thickBot="1" x14ac:dyDescent="0.25">
      <c r="A10" s="24">
        <v>3</v>
      </c>
      <c r="B10" s="9" t="str">
        <f>VLOOKUP($E$2&amp;"_"&amp;$A10,Studenten!$C$2:$F$691,2,FALSE)</f>
        <v>462208</v>
      </c>
      <c r="C10" s="9" t="str">
        <f>VLOOKUP($E$2&amp;"_"&amp;$A10,Studenten!$C$2:$F$691,3,FALSE)</f>
        <v>He</v>
      </c>
      <c r="D10" s="45" t="str">
        <f>VLOOKUP($E$2&amp;"_"&amp;$A10,Studenten!$C$2:$F$691,4,FALSE)</f>
        <v>Hanyang</v>
      </c>
      <c r="E10" s="28"/>
      <c r="F10" s="22">
        <f t="shared" si="0"/>
        <v>0</v>
      </c>
      <c r="G10" s="23">
        <f t="shared" si="2"/>
        <v>0</v>
      </c>
      <c r="H10" s="23">
        <f t="shared" si="3"/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v>0</v>
      </c>
      <c r="Q10" s="57">
        <v>0</v>
      </c>
      <c r="R10" s="57">
        <v>0</v>
      </c>
      <c r="S10" s="57">
        <v>0</v>
      </c>
      <c r="T10" s="57">
        <v>0</v>
      </c>
      <c r="U10" s="57">
        <v>0</v>
      </c>
      <c r="V10" s="57">
        <v>0</v>
      </c>
      <c r="W10" s="57">
        <v>0</v>
      </c>
      <c r="X10" s="57">
        <v>0</v>
      </c>
      <c r="Y10" s="57">
        <v>0</v>
      </c>
      <c r="Z10" s="57">
        <v>0</v>
      </c>
      <c r="AA10" s="57">
        <v>0</v>
      </c>
      <c r="AB10" s="57">
        <v>0</v>
      </c>
      <c r="AC10" s="57">
        <v>0</v>
      </c>
      <c r="AD10" s="57">
        <v>0</v>
      </c>
    </row>
    <row r="11" spans="1:30" ht="16" x14ac:dyDescent="0.2">
      <c r="A11" s="24">
        <v>4</v>
      </c>
      <c r="B11" s="9" t="str">
        <f>VLOOKUP($E$2&amp;"_"&amp;$A11,Studenten!$C$2:$F$691,2,FALSE)</f>
        <v>462502</v>
      </c>
      <c r="C11" s="9" t="str">
        <f>VLOOKUP($E$2&amp;"_"&amp;$A11,Studenten!$C$2:$F$691,3,FALSE)</f>
        <v>Li</v>
      </c>
      <c r="D11" s="45" t="str">
        <f>VLOOKUP($E$2&amp;"_"&amp;$A11,Studenten!$C$2:$F$691,4,FALSE)</f>
        <v>Zihao</v>
      </c>
      <c r="E11" s="28"/>
      <c r="F11" s="22">
        <f t="shared" si="0"/>
        <v>0</v>
      </c>
      <c r="G11" s="23">
        <f t="shared" si="2"/>
        <v>0</v>
      </c>
      <c r="H11" s="23">
        <f t="shared" si="3"/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v>0</v>
      </c>
      <c r="Q11" s="57">
        <v>0</v>
      </c>
      <c r="R11" s="57">
        <v>0</v>
      </c>
      <c r="S11" s="57">
        <v>0</v>
      </c>
      <c r="T11" s="57">
        <v>0</v>
      </c>
      <c r="U11" s="57">
        <v>0</v>
      </c>
      <c r="V11" s="57">
        <v>0</v>
      </c>
      <c r="W11" s="57">
        <v>0</v>
      </c>
      <c r="X11" s="57">
        <v>0</v>
      </c>
      <c r="Y11" s="57">
        <v>0</v>
      </c>
      <c r="Z11" s="57">
        <v>0</v>
      </c>
      <c r="AA11" s="57">
        <v>0</v>
      </c>
      <c r="AB11" s="57">
        <v>0</v>
      </c>
      <c r="AC11" s="57">
        <v>0</v>
      </c>
      <c r="AD11" s="57">
        <v>0</v>
      </c>
    </row>
    <row r="12" spans="1:30" ht="16" x14ac:dyDescent="0.2">
      <c r="B12" s="9"/>
      <c r="C12" s="10"/>
      <c r="D12" s="10"/>
      <c r="E12" s="14"/>
      <c r="F12" s="4"/>
      <c r="G12" s="4"/>
      <c r="H12" s="4"/>
    </row>
    <row r="13" spans="1:30" ht="16" x14ac:dyDescent="0.2">
      <c r="B13" s="9"/>
      <c r="C13" s="10"/>
      <c r="D13" s="10"/>
      <c r="E13" s="14"/>
      <c r="F13" s="4"/>
      <c r="G13" s="4"/>
      <c r="H13" s="4"/>
    </row>
    <row r="14" spans="1:30" ht="16" x14ac:dyDescent="0.2">
      <c r="B14" s="9"/>
      <c r="C14" s="10"/>
      <c r="D14" s="10"/>
      <c r="E14" s="14"/>
      <c r="F14" s="4"/>
      <c r="G14" s="4"/>
      <c r="H14" s="4"/>
    </row>
    <row r="15" spans="1:30" ht="16" x14ac:dyDescent="0.2">
      <c r="B15" s="9"/>
      <c r="C15" s="10"/>
      <c r="D15" s="10"/>
      <c r="E15" s="14"/>
      <c r="F15" s="4"/>
      <c r="G15" s="4"/>
      <c r="H15" s="4"/>
    </row>
    <row r="16" spans="1:30" ht="16" x14ac:dyDescent="0.2">
      <c r="B16" s="9"/>
      <c r="C16" s="10"/>
      <c r="D16" s="10"/>
      <c r="E16" s="14"/>
      <c r="F16" s="4"/>
      <c r="G16" s="4"/>
      <c r="H16" s="4"/>
    </row>
    <row r="17" spans="2:8" ht="16" x14ac:dyDescent="0.2">
      <c r="B17" s="9"/>
      <c r="C17" s="10"/>
      <c r="D17" s="10"/>
      <c r="E17" s="14"/>
      <c r="F17" s="4"/>
      <c r="G17" s="4"/>
      <c r="H17" s="4"/>
    </row>
    <row r="18" spans="2:8" ht="16" x14ac:dyDescent="0.2">
      <c r="B18" s="9"/>
      <c r="C18" s="10"/>
      <c r="D18" s="10"/>
      <c r="E18" s="14"/>
      <c r="F18" s="4"/>
      <c r="G18" s="4"/>
      <c r="H18" s="4"/>
    </row>
    <row r="19" spans="2:8" ht="16" x14ac:dyDescent="0.2">
      <c r="B19" s="9"/>
      <c r="C19" s="10"/>
      <c r="D19" s="10"/>
      <c r="E19" s="14"/>
      <c r="F19" s="4"/>
      <c r="G19" s="4"/>
      <c r="H19" s="4"/>
    </row>
    <row r="20" spans="2:8" ht="16" x14ac:dyDescent="0.2">
      <c r="B20" s="9"/>
      <c r="C20" s="10"/>
      <c r="D20" s="10"/>
      <c r="E20" s="14"/>
      <c r="F20" s="4"/>
      <c r="G20" s="4"/>
      <c r="H20" s="4"/>
    </row>
    <row r="21" spans="2:8" ht="16" x14ac:dyDescent="0.2">
      <c r="B21" s="9"/>
      <c r="C21" s="10"/>
      <c r="D21" s="10"/>
      <c r="E21" s="14"/>
      <c r="F21" s="4"/>
      <c r="G21" s="4"/>
      <c r="H21" s="4"/>
    </row>
    <row r="22" spans="2:8" ht="16" x14ac:dyDescent="0.2">
      <c r="B22" s="9"/>
      <c r="C22" s="10"/>
      <c r="D22" s="10"/>
      <c r="E22" s="14"/>
      <c r="F22" s="4"/>
      <c r="G22" s="4"/>
      <c r="H22" s="4"/>
    </row>
    <row r="23" spans="2:8" ht="16" x14ac:dyDescent="0.2">
      <c r="B23" s="9"/>
      <c r="C23" s="10"/>
      <c r="D23" s="10"/>
      <c r="E23" s="14"/>
      <c r="F23" s="4"/>
      <c r="G23" s="4"/>
      <c r="H23" s="4"/>
    </row>
    <row r="24" spans="2:8" ht="16" x14ac:dyDescent="0.2">
      <c r="B24" s="9"/>
      <c r="C24" s="10"/>
      <c r="D24" s="10"/>
      <c r="E24" s="14"/>
      <c r="F24" s="4"/>
      <c r="G24" s="4"/>
      <c r="H24" s="4"/>
    </row>
    <row r="25" spans="2:8" ht="16" x14ac:dyDescent="0.2">
      <c r="B25" s="9"/>
      <c r="C25" s="10"/>
      <c r="D25" s="10"/>
      <c r="E25" s="14"/>
      <c r="F25" s="4"/>
      <c r="G25" s="4"/>
      <c r="H25" s="4"/>
    </row>
    <row r="26" spans="2:8" ht="16" x14ac:dyDescent="0.2">
      <c r="B26" s="9"/>
      <c r="C26" s="10"/>
      <c r="D26" s="10"/>
      <c r="E26" s="14"/>
      <c r="F26" s="4"/>
      <c r="G26" s="4"/>
      <c r="H26" s="4"/>
    </row>
    <row r="27" spans="2:8" ht="16" x14ac:dyDescent="0.2">
      <c r="B27" s="9"/>
      <c r="C27" s="10"/>
      <c r="D27" s="10"/>
      <c r="E27" s="14"/>
      <c r="F27" s="4"/>
      <c r="G27" s="4"/>
      <c r="H27" s="4"/>
    </row>
    <row r="28" spans="2:8" ht="16" x14ac:dyDescent="0.2">
      <c r="B28" s="9"/>
      <c r="C28" s="10"/>
      <c r="D28" s="10"/>
      <c r="E28" s="14"/>
      <c r="F28" s="4"/>
      <c r="G28" s="4"/>
      <c r="H28" s="4"/>
    </row>
    <row r="29" spans="2:8" ht="16" x14ac:dyDescent="0.2">
      <c r="B29" s="9"/>
      <c r="C29" s="10"/>
      <c r="D29" s="10"/>
      <c r="E29" s="14"/>
      <c r="F29" s="4"/>
      <c r="G29" s="4"/>
      <c r="H29" s="4"/>
    </row>
    <row r="30" spans="2:8" ht="16" x14ac:dyDescent="0.2">
      <c r="B30" s="9"/>
      <c r="C30" s="10"/>
      <c r="D30" s="10"/>
      <c r="E30" s="14"/>
      <c r="F30" s="4"/>
      <c r="G30" s="4"/>
      <c r="H30" s="4"/>
    </row>
    <row r="31" spans="2:8" ht="16" x14ac:dyDescent="0.2">
      <c r="B31" s="9"/>
      <c r="C31" s="10"/>
      <c r="D31" s="10"/>
      <c r="E31" s="14"/>
      <c r="F31" s="4"/>
      <c r="G31" s="4"/>
      <c r="H31" s="4"/>
    </row>
    <row r="32" spans="2:8" ht="16" x14ac:dyDescent="0.2">
      <c r="B32" s="9"/>
      <c r="C32" s="10"/>
      <c r="D32" s="10"/>
      <c r="E32" s="14"/>
      <c r="F32" s="4"/>
      <c r="G32" s="4"/>
      <c r="H32" s="4"/>
    </row>
    <row r="33" spans="2:8" ht="16" x14ac:dyDescent="0.2">
      <c r="B33" s="9"/>
      <c r="C33" s="10"/>
      <c r="D33" s="10"/>
      <c r="E33" s="14"/>
      <c r="F33" s="4"/>
      <c r="G33" s="4"/>
      <c r="H33" s="4"/>
    </row>
    <row r="34" spans="2:8" ht="16" x14ac:dyDescent="0.2">
      <c r="B34" s="9"/>
      <c r="C34" s="10"/>
      <c r="D34" s="10"/>
      <c r="E34" s="14"/>
      <c r="F34" s="4"/>
      <c r="G34" s="4"/>
      <c r="H34" s="4"/>
    </row>
    <row r="35" spans="2:8" ht="16" x14ac:dyDescent="0.2">
      <c r="B35" s="9"/>
      <c r="C35" s="10"/>
      <c r="D35" s="10"/>
      <c r="E35" s="14"/>
      <c r="F35" s="4"/>
      <c r="G35" s="4"/>
      <c r="H35" s="4"/>
    </row>
    <row r="36" spans="2:8" ht="16" x14ac:dyDescent="0.2">
      <c r="B36" s="9"/>
      <c r="C36" s="10"/>
      <c r="D36" s="10"/>
      <c r="E36" s="14"/>
      <c r="F36" s="4"/>
      <c r="G36" s="4"/>
      <c r="H36" s="4"/>
    </row>
    <row r="37" spans="2:8" ht="16" x14ac:dyDescent="0.2">
      <c r="B37" s="9"/>
      <c r="C37" s="10"/>
      <c r="D37" s="10"/>
      <c r="E37" s="14"/>
      <c r="F37" s="4"/>
      <c r="G37" s="4"/>
      <c r="H37" s="4"/>
    </row>
    <row r="38" spans="2:8" ht="16" x14ac:dyDescent="0.2">
      <c r="B38" s="9"/>
      <c r="C38" s="10"/>
      <c r="D38" s="10"/>
      <c r="E38" s="14"/>
      <c r="F38" s="4"/>
      <c r="G38" s="4"/>
      <c r="H38" s="4"/>
    </row>
    <row r="39" spans="2:8" ht="16" x14ac:dyDescent="0.2">
      <c r="B39" s="9"/>
      <c r="C39" s="10"/>
      <c r="D39" s="10"/>
      <c r="E39" s="14"/>
      <c r="F39" s="4"/>
      <c r="G39" s="4"/>
      <c r="H39" s="4"/>
    </row>
    <row r="40" spans="2:8" ht="16" x14ac:dyDescent="0.2">
      <c r="B40" s="9"/>
      <c r="C40" s="10"/>
      <c r="D40" s="10"/>
      <c r="E40" s="14"/>
      <c r="F40" s="4"/>
      <c r="G40" s="4"/>
      <c r="H40" s="4"/>
    </row>
    <row r="41" spans="2:8" ht="16" x14ac:dyDescent="0.2">
      <c r="B41" s="9"/>
      <c r="C41" s="10"/>
      <c r="D41" s="10"/>
      <c r="E41" s="14"/>
      <c r="F41" s="4"/>
      <c r="G41" s="4"/>
      <c r="H41" s="4"/>
    </row>
    <row r="42" spans="2:8" ht="16" x14ac:dyDescent="0.2">
      <c r="B42" s="9"/>
      <c r="C42" s="10"/>
      <c r="D42" s="10"/>
      <c r="E42" s="14"/>
      <c r="F42" s="4"/>
      <c r="G42" s="4"/>
      <c r="H42" s="4"/>
    </row>
    <row r="43" spans="2:8" ht="16" x14ac:dyDescent="0.2">
      <c r="B43" s="9"/>
      <c r="C43" s="10"/>
      <c r="D43" s="10"/>
      <c r="E43" s="14"/>
      <c r="F43" s="4"/>
      <c r="G43" s="4"/>
      <c r="H43" s="4"/>
    </row>
    <row r="44" spans="2:8" ht="16" x14ac:dyDescent="0.2">
      <c r="B44" s="9"/>
      <c r="C44" s="10"/>
      <c r="D44" s="10"/>
      <c r="E44" s="14"/>
      <c r="F44" s="4"/>
      <c r="G44" s="4"/>
      <c r="H44" s="4"/>
    </row>
    <row r="45" spans="2:8" ht="16" x14ac:dyDescent="0.2">
      <c r="B45" s="9"/>
      <c r="C45" s="10"/>
      <c r="D45" s="10"/>
      <c r="E45" s="14"/>
      <c r="F45" s="4"/>
      <c r="G45" s="4"/>
      <c r="H45" s="4"/>
    </row>
    <row r="46" spans="2:8" ht="16" x14ac:dyDescent="0.2">
      <c r="B46" s="9"/>
      <c r="C46" s="10"/>
      <c r="D46" s="10"/>
      <c r="E46" s="14"/>
      <c r="F46" s="4"/>
      <c r="G46" s="4"/>
      <c r="H46" s="4"/>
    </row>
    <row r="47" spans="2:8" ht="16" x14ac:dyDescent="0.2">
      <c r="B47" s="9"/>
      <c r="C47" s="10"/>
      <c r="D47" s="10"/>
      <c r="E47" s="14"/>
      <c r="F47" s="4"/>
      <c r="G47" s="4"/>
      <c r="H47" s="4"/>
    </row>
    <row r="48" spans="2:8" ht="16" x14ac:dyDescent="0.2">
      <c r="B48" s="9"/>
      <c r="C48" s="10"/>
      <c r="D48" s="10"/>
      <c r="E48" s="14"/>
      <c r="F48" s="4"/>
      <c r="G48" s="4"/>
      <c r="H48" s="4"/>
    </row>
    <row r="49" spans="2:8" ht="16" x14ac:dyDescent="0.2">
      <c r="B49" s="9"/>
      <c r="C49" s="10"/>
      <c r="D49" s="10"/>
      <c r="E49" s="14"/>
      <c r="F49" s="4"/>
      <c r="G49" s="4"/>
      <c r="H49" s="4"/>
    </row>
    <row r="50" spans="2:8" ht="16" x14ac:dyDescent="0.2">
      <c r="B50" s="9"/>
      <c r="C50" s="10"/>
      <c r="D50" s="10"/>
      <c r="E50" s="14"/>
      <c r="F50" s="4"/>
      <c r="G50" s="4"/>
      <c r="H50" s="4"/>
    </row>
    <row r="51" spans="2:8" ht="16" x14ac:dyDescent="0.2">
      <c r="B51" s="9"/>
      <c r="C51" s="10"/>
      <c r="D51" s="10"/>
      <c r="E51" s="14"/>
      <c r="F51" s="4"/>
      <c r="G51" s="4"/>
      <c r="H51" s="4"/>
    </row>
    <row r="52" spans="2:8" ht="16" x14ac:dyDescent="0.2">
      <c r="B52" s="9"/>
      <c r="C52" s="10"/>
      <c r="D52" s="10"/>
      <c r="E52" s="14"/>
      <c r="F52" s="4"/>
      <c r="G52" s="4"/>
      <c r="H52" s="4"/>
    </row>
    <row r="53" spans="2:8" ht="16" x14ac:dyDescent="0.2">
      <c r="B53" s="9"/>
      <c r="C53" s="10"/>
      <c r="D53" s="10"/>
      <c r="E53" s="14"/>
      <c r="F53" s="4"/>
      <c r="G53" s="4"/>
      <c r="H53" s="4"/>
    </row>
    <row r="54" spans="2:8" ht="16" x14ac:dyDescent="0.2">
      <c r="B54" s="9"/>
      <c r="C54" s="10"/>
      <c r="D54" s="10"/>
      <c r="E54" s="14"/>
      <c r="F54" s="4"/>
      <c r="G54" s="4"/>
      <c r="H54" s="4"/>
    </row>
    <row r="55" spans="2:8" ht="16" x14ac:dyDescent="0.2">
      <c r="B55" s="9"/>
      <c r="C55" s="10"/>
      <c r="D55" s="10"/>
      <c r="E55" s="14"/>
      <c r="F55" s="4"/>
      <c r="G55" s="4"/>
      <c r="H55" s="4"/>
    </row>
    <row r="56" spans="2:8" ht="16" x14ac:dyDescent="0.2">
      <c r="B56" s="9"/>
      <c r="C56" s="10"/>
      <c r="D56" s="10"/>
      <c r="E56" s="14"/>
      <c r="F56" s="4"/>
      <c r="G56" s="4"/>
      <c r="H56" s="4"/>
    </row>
    <row r="57" spans="2:8" ht="16" x14ac:dyDescent="0.2">
      <c r="B57" s="9"/>
      <c r="C57" s="10"/>
      <c r="D57" s="10"/>
      <c r="E57" s="14"/>
      <c r="F57" s="4"/>
      <c r="G57" s="4"/>
      <c r="H57" s="4"/>
    </row>
    <row r="58" spans="2:8" ht="16" x14ac:dyDescent="0.2">
      <c r="B58" s="9"/>
      <c r="C58" s="10"/>
      <c r="D58" s="10"/>
      <c r="E58" s="14"/>
      <c r="F58" s="4"/>
      <c r="G58" s="4"/>
      <c r="H58" s="4"/>
    </row>
    <row r="59" spans="2:8" ht="16" x14ac:dyDescent="0.2">
      <c r="B59" s="9"/>
      <c r="C59" s="10"/>
      <c r="D59" s="10"/>
      <c r="E59" s="14"/>
      <c r="F59" s="4"/>
      <c r="G59" s="4"/>
      <c r="H59" s="4"/>
    </row>
    <row r="60" spans="2:8" ht="16" x14ac:dyDescent="0.2">
      <c r="B60" s="9"/>
      <c r="C60" s="10"/>
      <c r="D60" s="10"/>
      <c r="E60" s="14"/>
      <c r="F60" s="4"/>
      <c r="G60" s="4"/>
      <c r="H60" s="4"/>
    </row>
    <row r="61" spans="2:8" ht="16" x14ac:dyDescent="0.2">
      <c r="B61" s="9"/>
      <c r="C61" s="10"/>
      <c r="D61" s="10"/>
      <c r="E61" s="14"/>
      <c r="F61" s="4"/>
      <c r="G61" s="4"/>
      <c r="H61" s="4"/>
    </row>
    <row r="62" spans="2:8" ht="16" x14ac:dyDescent="0.2">
      <c r="B62" s="9"/>
      <c r="C62" s="10"/>
      <c r="D62" s="10"/>
      <c r="E62" s="14"/>
      <c r="F62" s="4"/>
      <c r="G62" s="4"/>
      <c r="H62" s="4"/>
    </row>
    <row r="63" spans="2:8" ht="16" x14ac:dyDescent="0.2">
      <c r="B63" s="9"/>
      <c r="C63" s="10"/>
      <c r="D63" s="10"/>
      <c r="E63" s="14"/>
      <c r="F63" s="4"/>
      <c r="G63" s="4"/>
      <c r="H63" s="4"/>
    </row>
    <row r="64" spans="2:8" ht="16" x14ac:dyDescent="0.2">
      <c r="B64" s="9"/>
      <c r="C64" s="10"/>
      <c r="D64" s="10"/>
      <c r="E64" s="14"/>
      <c r="F64" s="4"/>
      <c r="G64" s="4"/>
      <c r="H64" s="4"/>
    </row>
    <row r="65" spans="2:8" ht="16" x14ac:dyDescent="0.2">
      <c r="B65" s="9"/>
      <c r="C65" s="10"/>
      <c r="D65" s="10"/>
      <c r="E65" s="14"/>
      <c r="F65" s="4"/>
      <c r="G65" s="4"/>
      <c r="H65" s="4"/>
    </row>
    <row r="66" spans="2:8" ht="16" x14ac:dyDescent="0.2">
      <c r="B66" s="9"/>
      <c r="C66" s="10"/>
      <c r="D66" s="10"/>
      <c r="E66" s="14"/>
      <c r="F66" s="4"/>
      <c r="G66" s="4"/>
      <c r="H66" s="4"/>
    </row>
    <row r="67" spans="2:8" ht="16" x14ac:dyDescent="0.2">
      <c r="B67" s="9"/>
      <c r="C67" s="10"/>
      <c r="D67" s="10"/>
      <c r="E67" s="14"/>
      <c r="F67" s="4"/>
      <c r="G67" s="4"/>
      <c r="H67" s="4"/>
    </row>
    <row r="68" spans="2:8" ht="16" x14ac:dyDescent="0.2">
      <c r="B68" s="9"/>
      <c r="C68" s="10"/>
      <c r="D68" s="10"/>
      <c r="E68" s="14"/>
      <c r="F68" s="4"/>
      <c r="G68" s="4"/>
      <c r="H68" s="4"/>
    </row>
    <row r="69" spans="2:8" ht="16" x14ac:dyDescent="0.2">
      <c r="B69" s="9"/>
      <c r="C69" s="10"/>
      <c r="D69" s="10"/>
      <c r="E69" s="14"/>
      <c r="F69" s="4"/>
      <c r="G69" s="4"/>
      <c r="H69" s="4"/>
    </row>
    <row r="70" spans="2:8" ht="16" x14ac:dyDescent="0.2">
      <c r="B70" s="9"/>
      <c r="C70" s="10"/>
      <c r="D70" s="10"/>
      <c r="E70" s="14"/>
      <c r="F70" s="4"/>
      <c r="G70" s="4"/>
      <c r="H70" s="4"/>
    </row>
    <row r="71" spans="2:8" ht="16" x14ac:dyDescent="0.2">
      <c r="B71" s="9"/>
      <c r="C71" s="10"/>
      <c r="D71" s="10"/>
      <c r="E71" s="14"/>
      <c r="F71" s="4"/>
      <c r="G71" s="4"/>
      <c r="H71" s="4"/>
    </row>
    <row r="72" spans="2:8" ht="16" x14ac:dyDescent="0.2">
      <c r="B72" s="9"/>
      <c r="C72" s="10"/>
      <c r="D72" s="10"/>
      <c r="E72" s="14"/>
      <c r="F72" s="4"/>
      <c r="G72" s="4"/>
      <c r="H72" s="4"/>
    </row>
    <row r="73" spans="2:8" ht="16" x14ac:dyDescent="0.2">
      <c r="B73" s="9"/>
      <c r="C73" s="10"/>
      <c r="D73" s="10"/>
      <c r="E73" s="14"/>
      <c r="F73" s="4"/>
      <c r="G73" s="4"/>
      <c r="H73" s="4"/>
    </row>
    <row r="74" spans="2:8" ht="16" x14ac:dyDescent="0.2">
      <c r="B74" s="9"/>
      <c r="C74" s="10"/>
      <c r="D74" s="10"/>
      <c r="E74" s="14"/>
      <c r="F74" s="4"/>
      <c r="G74" s="4"/>
      <c r="H74" s="4"/>
    </row>
    <row r="75" spans="2:8" ht="16" x14ac:dyDescent="0.2">
      <c r="B75" s="9"/>
      <c r="C75" s="10"/>
      <c r="D75" s="10"/>
      <c r="E75" s="14"/>
      <c r="F75" s="4"/>
      <c r="G75" s="4"/>
      <c r="H75" s="4"/>
    </row>
    <row r="76" spans="2:8" ht="16" x14ac:dyDescent="0.2">
      <c r="B76" s="9"/>
      <c r="C76" s="10"/>
      <c r="D76" s="10"/>
      <c r="E76" s="14"/>
      <c r="F76" s="4"/>
      <c r="G76" s="4"/>
      <c r="H76" s="4"/>
    </row>
    <row r="77" spans="2:8" ht="16" x14ac:dyDescent="0.2">
      <c r="B77" s="9"/>
      <c r="C77" s="10"/>
      <c r="D77" s="10"/>
      <c r="E77" s="14"/>
      <c r="F77" s="4"/>
      <c r="G77" s="4"/>
      <c r="H77" s="4"/>
    </row>
    <row r="78" spans="2:8" ht="16" x14ac:dyDescent="0.2">
      <c r="B78" s="9"/>
      <c r="C78" s="10"/>
      <c r="D78" s="10"/>
      <c r="E78" s="14"/>
      <c r="F78" s="4"/>
      <c r="G78" s="4"/>
      <c r="H78" s="4"/>
    </row>
    <row r="79" spans="2:8" ht="16" x14ac:dyDescent="0.2">
      <c r="B79" s="9"/>
      <c r="C79" s="10"/>
      <c r="D79" s="10"/>
      <c r="E79" s="14"/>
      <c r="F79" s="4"/>
      <c r="G79" s="4"/>
      <c r="H79" s="4"/>
    </row>
    <row r="80" spans="2:8" ht="16" x14ac:dyDescent="0.2">
      <c r="B80" s="9"/>
      <c r="C80" s="10"/>
      <c r="D80" s="10"/>
      <c r="E80" s="14"/>
      <c r="F80" s="4"/>
      <c r="G80" s="4"/>
      <c r="H80" s="4"/>
    </row>
    <row r="81" spans="2:8" ht="16" x14ac:dyDescent="0.2">
      <c r="B81" s="9"/>
      <c r="C81" s="10"/>
      <c r="D81" s="10"/>
      <c r="E81" s="14"/>
      <c r="F81" s="4"/>
      <c r="G81" s="4"/>
      <c r="H81" s="4"/>
    </row>
    <row r="82" spans="2:8" ht="16" x14ac:dyDescent="0.2">
      <c r="B82" s="9"/>
      <c r="C82" s="10"/>
      <c r="D82" s="10"/>
      <c r="E82" s="14"/>
      <c r="F82" s="4"/>
      <c r="G82" s="4"/>
      <c r="H82" s="4"/>
    </row>
    <row r="83" spans="2:8" ht="16" x14ac:dyDescent="0.2">
      <c r="B83" s="9"/>
      <c r="C83" s="10"/>
      <c r="D83" s="10"/>
      <c r="E83" s="14"/>
      <c r="F83" s="4"/>
      <c r="G83" s="4"/>
      <c r="H83" s="4"/>
    </row>
    <row r="84" spans="2:8" ht="16" x14ac:dyDescent="0.2">
      <c r="B84" s="9"/>
      <c r="C84" s="10"/>
      <c r="D84" s="10"/>
      <c r="E84" s="14"/>
      <c r="F84" s="4"/>
      <c r="G84" s="4"/>
      <c r="H84" s="4"/>
    </row>
    <row r="85" spans="2:8" ht="16" x14ac:dyDescent="0.2">
      <c r="B85" s="9"/>
      <c r="C85" s="10"/>
      <c r="D85" s="10"/>
      <c r="E85" s="14"/>
      <c r="F85" s="4"/>
      <c r="G85" s="4"/>
      <c r="H85" s="4"/>
    </row>
    <row r="86" spans="2:8" ht="16" x14ac:dyDescent="0.2">
      <c r="B86" s="9"/>
      <c r="C86" s="10"/>
      <c r="D86" s="10"/>
      <c r="E86" s="14"/>
      <c r="F86" s="4"/>
      <c r="G86" s="4"/>
      <c r="H86" s="4"/>
    </row>
    <row r="87" spans="2:8" ht="16" x14ac:dyDescent="0.2">
      <c r="B87" s="9"/>
      <c r="C87" s="10"/>
      <c r="D87" s="10"/>
      <c r="E87" s="14"/>
      <c r="F87" s="4"/>
      <c r="G87" s="4"/>
      <c r="H87" s="4"/>
    </row>
    <row r="88" spans="2:8" ht="16" x14ac:dyDescent="0.2">
      <c r="B88" s="9"/>
      <c r="C88" s="10"/>
      <c r="D88" s="10"/>
      <c r="E88" s="14"/>
      <c r="F88" s="4"/>
      <c r="G88" s="4"/>
      <c r="H88" s="4"/>
    </row>
    <row r="89" spans="2:8" ht="16" x14ac:dyDescent="0.2">
      <c r="B89" s="9"/>
      <c r="C89" s="10"/>
      <c r="D89" s="10"/>
      <c r="E89" s="14"/>
      <c r="F89" s="4"/>
      <c r="G89" s="4"/>
      <c r="H89" s="4"/>
    </row>
    <row r="90" spans="2:8" ht="16" x14ac:dyDescent="0.2">
      <c r="B90" s="9"/>
      <c r="C90" s="10"/>
      <c r="D90" s="10"/>
      <c r="E90" s="14"/>
      <c r="F90" s="4"/>
      <c r="G90" s="4"/>
      <c r="H90" s="4"/>
    </row>
    <row r="91" spans="2:8" ht="16" x14ac:dyDescent="0.2">
      <c r="B91" s="9"/>
      <c r="C91" s="10"/>
      <c r="D91" s="10"/>
      <c r="E91" s="14"/>
      <c r="F91" s="4"/>
      <c r="G91" s="4"/>
      <c r="H91" s="4"/>
    </row>
    <row r="92" spans="2:8" ht="16" x14ac:dyDescent="0.2">
      <c r="B92" s="9"/>
      <c r="C92" s="10"/>
      <c r="D92" s="10"/>
      <c r="E92" s="14"/>
      <c r="F92" s="4"/>
      <c r="G92" s="4"/>
      <c r="H92" s="4"/>
    </row>
    <row r="93" spans="2:8" ht="16" x14ac:dyDescent="0.2">
      <c r="B93" s="9"/>
      <c r="C93" s="10"/>
      <c r="D93" s="10"/>
      <c r="E93" s="14"/>
      <c r="F93" s="4"/>
      <c r="G93" s="4"/>
      <c r="H93" s="4"/>
    </row>
    <row r="94" spans="2:8" ht="16" x14ac:dyDescent="0.2">
      <c r="B94" s="9"/>
      <c r="C94" s="10"/>
      <c r="D94" s="10"/>
      <c r="E94" s="14"/>
      <c r="F94" s="4"/>
      <c r="G94" s="4"/>
      <c r="H94" s="4"/>
    </row>
    <row r="95" spans="2:8" ht="16" x14ac:dyDescent="0.2">
      <c r="B95" s="9"/>
      <c r="C95" s="10"/>
      <c r="D95" s="10"/>
      <c r="E95" s="14"/>
      <c r="F95" s="4"/>
      <c r="G95" s="4"/>
      <c r="H95" s="4"/>
    </row>
    <row r="96" spans="2:8" ht="16" x14ac:dyDescent="0.2">
      <c r="B96" s="9"/>
      <c r="C96" s="10"/>
      <c r="D96" s="10"/>
      <c r="E96" s="14"/>
      <c r="F96" s="4"/>
      <c r="G96" s="4"/>
      <c r="H96" s="4"/>
    </row>
    <row r="97" spans="2:8" ht="16" x14ac:dyDescent="0.2">
      <c r="B97" s="9"/>
      <c r="C97" s="10"/>
      <c r="D97" s="10"/>
      <c r="E97" s="14"/>
      <c r="F97" s="4"/>
      <c r="G97" s="4"/>
      <c r="H97" s="4"/>
    </row>
    <row r="98" spans="2:8" ht="16" x14ac:dyDescent="0.2">
      <c r="B98" s="9"/>
      <c r="C98" s="10"/>
      <c r="D98" s="10"/>
      <c r="E98" s="14"/>
      <c r="F98" s="4"/>
      <c r="G98" s="4"/>
      <c r="H98" s="4"/>
    </row>
    <row r="99" spans="2:8" ht="16" x14ac:dyDescent="0.2">
      <c r="B99" s="9"/>
      <c r="C99" s="10"/>
      <c r="D99" s="10"/>
      <c r="E99" s="14"/>
      <c r="F99" s="4"/>
      <c r="G99" s="4"/>
      <c r="H99" s="4"/>
    </row>
    <row r="100" spans="2:8" ht="16" x14ac:dyDescent="0.2">
      <c r="B100" s="9"/>
      <c r="C100" s="10"/>
      <c r="D100" s="10"/>
      <c r="E100" s="14"/>
      <c r="F100" s="4"/>
      <c r="G100" s="4"/>
      <c r="H100" s="4"/>
    </row>
    <row r="101" spans="2:8" ht="16" x14ac:dyDescent="0.2">
      <c r="B101" s="9"/>
      <c r="C101" s="10"/>
      <c r="D101" s="10"/>
      <c r="E101" s="14"/>
      <c r="F101" s="4"/>
      <c r="G101" s="4"/>
      <c r="H101" s="4"/>
    </row>
    <row r="102" spans="2:8" ht="16" x14ac:dyDescent="0.2">
      <c r="B102" s="9"/>
      <c r="C102" s="10"/>
      <c r="D102" s="10"/>
      <c r="E102" s="14"/>
      <c r="F102" s="4"/>
      <c r="G102" s="4"/>
      <c r="H102" s="4"/>
    </row>
    <row r="103" spans="2:8" ht="16" x14ac:dyDescent="0.2">
      <c r="B103" s="9"/>
      <c r="C103" s="10"/>
      <c r="D103" s="10"/>
      <c r="E103" s="14"/>
      <c r="F103" s="4"/>
      <c r="G103" s="4"/>
      <c r="H103" s="4"/>
    </row>
    <row r="104" spans="2:8" ht="16" x14ac:dyDescent="0.2">
      <c r="B104" s="9"/>
      <c r="C104" s="10"/>
      <c r="D104" s="10"/>
      <c r="E104" s="14"/>
      <c r="F104" s="4"/>
      <c r="G104" s="4"/>
      <c r="H104" s="4"/>
    </row>
    <row r="105" spans="2:8" ht="16" x14ac:dyDescent="0.2">
      <c r="B105" s="9"/>
      <c r="C105" s="10"/>
      <c r="D105" s="10"/>
      <c r="E105" s="14"/>
      <c r="F105" s="4"/>
      <c r="G105" s="4"/>
      <c r="H105" s="4"/>
    </row>
    <row r="106" spans="2:8" ht="16" x14ac:dyDescent="0.2">
      <c r="B106" s="9"/>
      <c r="C106" s="10"/>
      <c r="D106" s="10"/>
      <c r="E106" s="14"/>
      <c r="F106" s="4"/>
      <c r="G106" s="4"/>
      <c r="H106" s="4"/>
    </row>
    <row r="107" spans="2:8" ht="16" x14ac:dyDescent="0.2">
      <c r="B107" s="9"/>
      <c r="C107" s="10"/>
      <c r="D107" s="10"/>
      <c r="E107" s="14"/>
      <c r="F107" s="4"/>
      <c r="G107" s="4"/>
      <c r="H107" s="4"/>
    </row>
    <row r="108" spans="2:8" ht="16" x14ac:dyDescent="0.2">
      <c r="B108" s="9"/>
      <c r="C108" s="10"/>
      <c r="D108" s="10"/>
      <c r="E108" s="14"/>
      <c r="F108" s="4"/>
      <c r="G108" s="4"/>
      <c r="H108" s="4"/>
    </row>
    <row r="109" spans="2:8" ht="16" x14ac:dyDescent="0.2">
      <c r="B109" s="9"/>
      <c r="C109" s="10"/>
      <c r="D109" s="10"/>
      <c r="E109" s="14"/>
      <c r="F109" s="4"/>
      <c r="G109" s="4"/>
      <c r="H109" s="4"/>
    </row>
    <row r="110" spans="2:8" ht="16" x14ac:dyDescent="0.2">
      <c r="B110" s="9"/>
      <c r="C110" s="10"/>
      <c r="D110" s="10"/>
      <c r="E110" s="14"/>
      <c r="F110" s="4"/>
      <c r="G110" s="4"/>
      <c r="H110" s="4"/>
    </row>
    <row r="111" spans="2:8" ht="16" x14ac:dyDescent="0.2">
      <c r="B111" s="9"/>
      <c r="C111" s="10"/>
      <c r="D111" s="10"/>
      <c r="E111" s="14"/>
      <c r="F111" s="4"/>
      <c r="G111" s="4"/>
      <c r="H111" s="4"/>
    </row>
    <row r="112" spans="2:8" ht="16" x14ac:dyDescent="0.2">
      <c r="B112" s="9"/>
      <c r="C112" s="10"/>
      <c r="D112" s="10"/>
      <c r="E112" s="14"/>
      <c r="F112" s="4"/>
      <c r="G112" s="4"/>
      <c r="H112" s="4"/>
    </row>
    <row r="113" spans="2:8" ht="16" x14ac:dyDescent="0.2">
      <c r="B113" s="9"/>
      <c r="C113" s="10"/>
      <c r="D113" s="10"/>
      <c r="E113" s="14"/>
      <c r="F113" s="4"/>
      <c r="G113" s="4"/>
      <c r="H113" s="4"/>
    </row>
    <row r="114" spans="2:8" ht="16" x14ac:dyDescent="0.2">
      <c r="B114" s="9"/>
      <c r="C114" s="10"/>
      <c r="D114" s="10"/>
      <c r="E114" s="14"/>
      <c r="F114" s="4"/>
      <c r="G114" s="4"/>
      <c r="H114" s="4"/>
    </row>
    <row r="115" spans="2:8" ht="16" x14ac:dyDescent="0.2">
      <c r="B115" s="9"/>
      <c r="C115" s="10"/>
      <c r="D115" s="10"/>
      <c r="E115" s="14"/>
      <c r="F115" s="4"/>
      <c r="G115" s="4"/>
      <c r="H115" s="4"/>
    </row>
    <row r="116" spans="2:8" ht="16" x14ac:dyDescent="0.2">
      <c r="B116" s="9"/>
      <c r="C116" s="10"/>
      <c r="D116" s="10"/>
      <c r="E116" s="14"/>
      <c r="F116" s="4"/>
      <c r="G116" s="4"/>
      <c r="H116" s="4"/>
    </row>
    <row r="117" spans="2:8" ht="16" x14ac:dyDescent="0.2">
      <c r="B117" s="9"/>
      <c r="C117" s="10"/>
      <c r="D117" s="10"/>
      <c r="E117" s="14"/>
      <c r="F117" s="4"/>
      <c r="G117" s="4"/>
      <c r="H117" s="4"/>
    </row>
    <row r="118" spans="2:8" ht="16" x14ac:dyDescent="0.2">
      <c r="B118" s="9"/>
      <c r="C118" s="10"/>
      <c r="D118" s="10"/>
      <c r="E118" s="14"/>
      <c r="F118" s="4"/>
      <c r="G118" s="4"/>
      <c r="H118" s="4"/>
    </row>
    <row r="119" spans="2:8" ht="16" x14ac:dyDescent="0.2">
      <c r="B119" s="9"/>
      <c r="C119" s="10"/>
      <c r="D119" s="10"/>
      <c r="E119" s="14"/>
      <c r="F119" s="4"/>
      <c r="G119" s="4"/>
      <c r="H119" s="4"/>
    </row>
    <row r="120" spans="2:8" ht="16" x14ac:dyDescent="0.2">
      <c r="B120" s="9"/>
      <c r="C120" s="10"/>
      <c r="D120" s="10"/>
      <c r="E120" s="14"/>
      <c r="F120" s="4"/>
      <c r="G120" s="4"/>
      <c r="H120" s="4"/>
    </row>
    <row r="121" spans="2:8" ht="16" x14ac:dyDescent="0.2">
      <c r="B121" s="9"/>
      <c r="C121" s="10"/>
      <c r="D121" s="10"/>
      <c r="E121" s="14"/>
      <c r="F121" s="4"/>
      <c r="G121" s="4"/>
      <c r="H121" s="4"/>
    </row>
    <row r="122" spans="2:8" ht="16" x14ac:dyDescent="0.2">
      <c r="B122" s="9"/>
      <c r="C122" s="10"/>
      <c r="D122" s="10"/>
      <c r="E122" s="14"/>
      <c r="F122" s="4"/>
      <c r="G122" s="4"/>
      <c r="H122" s="4"/>
    </row>
    <row r="123" spans="2:8" ht="16" x14ac:dyDescent="0.2">
      <c r="B123" s="9"/>
      <c r="C123" s="10"/>
      <c r="D123" s="10"/>
      <c r="E123" s="14"/>
      <c r="F123" s="4"/>
      <c r="G123" s="4"/>
      <c r="H123" s="4"/>
    </row>
    <row r="124" spans="2:8" ht="16" x14ac:dyDescent="0.2">
      <c r="B124" s="9"/>
      <c r="C124" s="10"/>
      <c r="D124" s="10"/>
      <c r="E124" s="14"/>
      <c r="F124" s="4"/>
      <c r="G124" s="4"/>
      <c r="H124" s="4"/>
    </row>
    <row r="125" spans="2:8" ht="16" x14ac:dyDescent="0.2">
      <c r="B125" s="9"/>
      <c r="C125" s="10"/>
      <c r="D125" s="10"/>
      <c r="E125" s="14"/>
      <c r="F125" s="4"/>
      <c r="G125" s="4"/>
      <c r="H125" s="4"/>
    </row>
    <row r="126" spans="2:8" ht="16" x14ac:dyDescent="0.2">
      <c r="B126" s="9"/>
      <c r="C126" s="10"/>
      <c r="D126" s="10"/>
      <c r="E126" s="14"/>
      <c r="F126" s="4"/>
      <c r="G126" s="4"/>
      <c r="H126" s="4"/>
    </row>
    <row r="127" spans="2:8" ht="16" x14ac:dyDescent="0.2">
      <c r="B127" s="9"/>
      <c r="C127" s="10"/>
      <c r="D127" s="10"/>
      <c r="E127" s="14"/>
      <c r="F127" s="4"/>
      <c r="G127" s="4"/>
      <c r="H127" s="4"/>
    </row>
    <row r="128" spans="2:8" ht="16" x14ac:dyDescent="0.2">
      <c r="B128" s="9"/>
      <c r="C128" s="10"/>
      <c r="D128" s="10"/>
      <c r="E128" s="14"/>
      <c r="F128" s="4"/>
      <c r="G128" s="4"/>
      <c r="H128" s="4"/>
    </row>
    <row r="129" spans="2:8" ht="16" x14ac:dyDescent="0.2">
      <c r="B129" s="9"/>
      <c r="C129" s="10"/>
      <c r="D129" s="10"/>
      <c r="E129" s="14"/>
      <c r="F129" s="4"/>
      <c r="G129" s="4"/>
      <c r="H129" s="4"/>
    </row>
    <row r="130" spans="2:8" ht="16" x14ac:dyDescent="0.2">
      <c r="B130" s="9"/>
      <c r="C130" s="10"/>
      <c r="D130" s="10"/>
      <c r="E130" s="14"/>
      <c r="F130" s="4"/>
      <c r="G130" s="4"/>
      <c r="H130" s="4"/>
    </row>
    <row r="131" spans="2:8" ht="16" x14ac:dyDescent="0.2">
      <c r="B131" s="9"/>
      <c r="C131" s="10"/>
      <c r="D131" s="10"/>
      <c r="E131" s="14"/>
      <c r="F131" s="4"/>
      <c r="G131" s="4"/>
      <c r="H131" s="4"/>
    </row>
    <row r="132" spans="2:8" ht="16" x14ac:dyDescent="0.2">
      <c r="B132" s="9"/>
      <c r="C132" s="10"/>
      <c r="D132" s="10"/>
      <c r="E132" s="14"/>
      <c r="F132" s="4"/>
      <c r="G132" s="4"/>
      <c r="H132" s="4"/>
    </row>
    <row r="133" spans="2:8" ht="16" x14ac:dyDescent="0.2">
      <c r="B133" s="9"/>
      <c r="C133" s="10"/>
      <c r="D133" s="10"/>
      <c r="E133" s="14"/>
      <c r="F133" s="4"/>
      <c r="G133" s="4"/>
      <c r="H133" s="4"/>
    </row>
    <row r="134" spans="2:8" ht="16" x14ac:dyDescent="0.2">
      <c r="B134" s="9"/>
      <c r="C134" s="10"/>
      <c r="D134" s="10"/>
      <c r="E134" s="14"/>
      <c r="F134" s="4"/>
      <c r="G134" s="4"/>
      <c r="H134" s="4"/>
    </row>
    <row r="135" spans="2:8" ht="16" x14ac:dyDescent="0.2">
      <c r="B135" s="9"/>
      <c r="C135" s="10"/>
      <c r="D135" s="10"/>
      <c r="E135" s="14"/>
      <c r="F135" s="4"/>
      <c r="G135" s="4"/>
      <c r="H135" s="4"/>
    </row>
    <row r="136" spans="2:8" ht="16" x14ac:dyDescent="0.2">
      <c r="B136" s="9"/>
      <c r="C136" s="10"/>
      <c r="D136" s="10"/>
      <c r="E136" s="14"/>
      <c r="F136" s="4"/>
      <c r="G136" s="4"/>
      <c r="H136" s="4"/>
    </row>
    <row r="137" spans="2:8" ht="16" x14ac:dyDescent="0.2">
      <c r="B137" s="9"/>
      <c r="C137" s="10"/>
      <c r="D137" s="10"/>
      <c r="E137" s="14"/>
      <c r="F137" s="4"/>
      <c r="G137" s="4"/>
      <c r="H137" s="4"/>
    </row>
    <row r="138" spans="2:8" ht="16" x14ac:dyDescent="0.2">
      <c r="B138" s="9"/>
      <c r="C138" s="10"/>
      <c r="D138" s="10"/>
      <c r="E138" s="14"/>
      <c r="F138" s="4"/>
      <c r="G138" s="4"/>
      <c r="H138" s="4"/>
    </row>
    <row r="139" spans="2:8" ht="16" x14ac:dyDescent="0.2">
      <c r="B139" s="9"/>
      <c r="C139" s="10"/>
      <c r="D139" s="10"/>
      <c r="E139" s="14"/>
      <c r="F139" s="4"/>
      <c r="G139" s="4"/>
      <c r="H139" s="4"/>
    </row>
    <row r="140" spans="2:8" ht="16" x14ac:dyDescent="0.2">
      <c r="B140" s="9"/>
      <c r="C140" s="10"/>
      <c r="D140" s="10"/>
      <c r="E140" s="14"/>
      <c r="F140" s="4"/>
      <c r="G140" s="4"/>
      <c r="H140" s="4"/>
    </row>
    <row r="141" spans="2:8" ht="16" x14ac:dyDescent="0.2">
      <c r="B141" s="9"/>
      <c r="C141" s="10"/>
      <c r="D141" s="10"/>
      <c r="E141" s="14"/>
      <c r="F141" s="4"/>
      <c r="G141" s="4"/>
      <c r="H141" s="4"/>
    </row>
    <row r="142" spans="2:8" ht="16" x14ac:dyDescent="0.2">
      <c r="B142" s="9"/>
      <c r="C142" s="10"/>
      <c r="D142" s="10"/>
      <c r="E142" s="14"/>
      <c r="F142" s="4"/>
      <c r="G142" s="4"/>
      <c r="H142" s="4"/>
    </row>
    <row r="143" spans="2:8" ht="16" x14ac:dyDescent="0.2">
      <c r="B143" s="9"/>
      <c r="C143" s="10"/>
      <c r="D143" s="10"/>
      <c r="E143" s="14"/>
      <c r="F143" s="4"/>
      <c r="G143" s="4"/>
      <c r="H143" s="4"/>
    </row>
    <row r="144" spans="2:8" ht="16" x14ac:dyDescent="0.2">
      <c r="B144" s="9"/>
      <c r="C144" s="10"/>
      <c r="D144" s="10"/>
      <c r="E144" s="14"/>
      <c r="F144" s="4"/>
      <c r="G144" s="4"/>
      <c r="H144" s="4"/>
    </row>
    <row r="145" spans="2:8" ht="16" x14ac:dyDescent="0.2">
      <c r="B145" s="9"/>
      <c r="C145" s="10"/>
      <c r="D145" s="10"/>
      <c r="E145" s="14"/>
      <c r="F145" s="4"/>
      <c r="G145" s="4"/>
      <c r="H145" s="4"/>
    </row>
    <row r="146" spans="2:8" ht="16" x14ac:dyDescent="0.2">
      <c r="B146" s="9"/>
      <c r="C146" s="10"/>
      <c r="D146" s="10"/>
      <c r="E146" s="14"/>
      <c r="F146" s="4"/>
      <c r="G146" s="4"/>
      <c r="H146" s="4"/>
    </row>
    <row r="147" spans="2:8" ht="16" x14ac:dyDescent="0.2">
      <c r="B147" s="9"/>
      <c r="C147" s="10"/>
      <c r="D147" s="10"/>
      <c r="E147" s="14"/>
      <c r="F147" s="4"/>
      <c r="G147" s="4"/>
      <c r="H147" s="4"/>
    </row>
    <row r="148" spans="2:8" ht="16" x14ac:dyDescent="0.2">
      <c r="B148" s="9"/>
      <c r="C148" s="10"/>
      <c r="D148" s="10"/>
      <c r="E148" s="14"/>
      <c r="F148" s="4"/>
      <c r="G148" s="4"/>
      <c r="H148" s="4"/>
    </row>
    <row r="149" spans="2:8" ht="16" x14ac:dyDescent="0.2">
      <c r="B149" s="9"/>
      <c r="C149" s="10"/>
      <c r="D149" s="10"/>
      <c r="E149" s="14"/>
      <c r="F149" s="4"/>
      <c r="G149" s="4"/>
      <c r="H149" s="4"/>
    </row>
    <row r="150" spans="2:8" ht="16" x14ac:dyDescent="0.2">
      <c r="B150" s="9"/>
      <c r="C150" s="10"/>
      <c r="D150" s="10"/>
      <c r="E150" s="14"/>
      <c r="F150" s="4"/>
      <c r="G150" s="4"/>
      <c r="H150" s="4"/>
    </row>
    <row r="151" spans="2:8" ht="16" x14ac:dyDescent="0.2">
      <c r="B151" s="9"/>
      <c r="C151" s="10"/>
      <c r="D151" s="10"/>
      <c r="E151" s="14"/>
      <c r="F151" s="4"/>
      <c r="G151" s="4"/>
      <c r="H151" s="4"/>
    </row>
    <row r="152" spans="2:8" ht="16" x14ac:dyDescent="0.2">
      <c r="B152" s="9"/>
      <c r="C152" s="10"/>
      <c r="D152" s="10"/>
      <c r="E152" s="14"/>
      <c r="F152" s="4"/>
      <c r="G152" s="4"/>
      <c r="H152" s="4"/>
    </row>
    <row r="153" spans="2:8" ht="16" x14ac:dyDescent="0.2">
      <c r="B153" s="9"/>
      <c r="C153" s="10"/>
      <c r="D153" s="10"/>
      <c r="E153" s="14"/>
      <c r="F153" s="4"/>
      <c r="G153" s="4"/>
      <c r="H153" s="4"/>
    </row>
    <row r="154" spans="2:8" ht="16" x14ac:dyDescent="0.2">
      <c r="B154" s="9"/>
      <c r="C154" s="10"/>
      <c r="D154" s="10"/>
      <c r="E154" s="14"/>
      <c r="F154" s="4"/>
      <c r="G154" s="4"/>
      <c r="H154" s="4"/>
    </row>
    <row r="155" spans="2:8" ht="16" x14ac:dyDescent="0.2">
      <c r="B155" s="9"/>
      <c r="C155" s="10"/>
      <c r="D155" s="10"/>
      <c r="E155" s="14"/>
      <c r="F155" s="4"/>
      <c r="G155" s="4"/>
      <c r="H155" s="4"/>
    </row>
    <row r="156" spans="2:8" ht="16" x14ac:dyDescent="0.2">
      <c r="B156" s="9"/>
      <c r="C156" s="10"/>
      <c r="D156" s="10"/>
      <c r="E156" s="14"/>
      <c r="F156" s="4"/>
      <c r="G156" s="4"/>
      <c r="H156" s="4"/>
    </row>
    <row r="157" spans="2:8" ht="16" x14ac:dyDescent="0.2">
      <c r="B157" s="9"/>
      <c r="C157" s="10"/>
      <c r="D157" s="10"/>
      <c r="E157" s="14"/>
      <c r="F157" s="4"/>
      <c r="G157" s="4"/>
      <c r="H157" s="4"/>
    </row>
    <row r="158" spans="2:8" ht="16" x14ac:dyDescent="0.2">
      <c r="B158" s="9"/>
      <c r="C158" s="10"/>
      <c r="D158" s="10"/>
      <c r="E158" s="14"/>
      <c r="F158" s="4"/>
      <c r="G158" s="4"/>
      <c r="H158" s="4"/>
    </row>
    <row r="159" spans="2:8" ht="16" x14ac:dyDescent="0.2">
      <c r="B159" s="9"/>
      <c r="C159" s="10"/>
      <c r="D159" s="10"/>
      <c r="E159" s="14"/>
      <c r="F159" s="4"/>
      <c r="G159" s="4"/>
      <c r="H159" s="4"/>
    </row>
    <row r="160" spans="2:8" ht="16" x14ac:dyDescent="0.2">
      <c r="B160" s="9"/>
      <c r="C160" s="10"/>
      <c r="D160" s="10"/>
      <c r="E160" s="14"/>
      <c r="F160" s="4"/>
      <c r="G160" s="4"/>
      <c r="H160" s="4"/>
    </row>
    <row r="161" spans="2:8" ht="16" x14ac:dyDescent="0.2">
      <c r="B161" s="9"/>
      <c r="C161" s="10"/>
      <c r="D161" s="10"/>
      <c r="E161" s="14"/>
      <c r="F161" s="4"/>
      <c r="G161" s="4"/>
      <c r="H161" s="4"/>
    </row>
    <row r="162" spans="2:8" ht="16" x14ac:dyDescent="0.2">
      <c r="B162" s="9"/>
      <c r="C162" s="10"/>
      <c r="D162" s="10"/>
      <c r="E162" s="14"/>
      <c r="F162" s="4"/>
      <c r="G162" s="4"/>
      <c r="H162" s="4"/>
    </row>
    <row r="163" spans="2:8" ht="16" x14ac:dyDescent="0.2">
      <c r="B163" s="9"/>
      <c r="C163" s="10"/>
      <c r="D163" s="10"/>
      <c r="E163" s="14"/>
      <c r="F163" s="4"/>
      <c r="G163" s="4"/>
      <c r="H163" s="4"/>
    </row>
    <row r="164" spans="2:8" ht="16" x14ac:dyDescent="0.2">
      <c r="B164" s="9"/>
      <c r="C164" s="10"/>
      <c r="D164" s="10"/>
      <c r="E164" s="14"/>
      <c r="F164" s="4"/>
      <c r="G164" s="4"/>
      <c r="H164" s="4"/>
    </row>
    <row r="165" spans="2:8" ht="16" x14ac:dyDescent="0.2">
      <c r="B165" s="9"/>
      <c r="C165" s="10"/>
      <c r="D165" s="10"/>
      <c r="E165" s="14"/>
      <c r="F165" s="4"/>
      <c r="G165" s="4"/>
      <c r="H165" s="4"/>
    </row>
    <row r="166" spans="2:8" ht="16" x14ac:dyDescent="0.2">
      <c r="B166" s="9"/>
      <c r="C166" s="10"/>
      <c r="D166" s="10"/>
      <c r="E166" s="14"/>
      <c r="F166" s="4"/>
      <c r="G166" s="4"/>
      <c r="H166" s="4"/>
    </row>
    <row r="167" spans="2:8" ht="16" x14ac:dyDescent="0.2">
      <c r="B167" s="9"/>
      <c r="C167" s="10"/>
      <c r="D167" s="10"/>
      <c r="E167" s="14"/>
      <c r="F167" s="4"/>
      <c r="G167" s="4"/>
      <c r="H167" s="4"/>
    </row>
    <row r="168" spans="2:8" ht="16" x14ac:dyDescent="0.2">
      <c r="B168" s="9"/>
      <c r="C168" s="10"/>
      <c r="D168" s="10"/>
      <c r="E168" s="14"/>
      <c r="F168" s="4"/>
      <c r="G168" s="4"/>
      <c r="H168" s="4"/>
    </row>
    <row r="169" spans="2:8" ht="16" x14ac:dyDescent="0.2">
      <c r="B169" s="9"/>
      <c r="C169" s="10"/>
      <c r="D169" s="10"/>
      <c r="E169" s="14"/>
      <c r="F169" s="4"/>
      <c r="G169" s="4"/>
      <c r="H169" s="4"/>
    </row>
    <row r="170" spans="2:8" ht="16" x14ac:dyDescent="0.2">
      <c r="B170" s="9"/>
      <c r="C170" s="10"/>
      <c r="D170" s="10"/>
      <c r="E170" s="14"/>
      <c r="F170" s="4"/>
      <c r="G170" s="4"/>
      <c r="H170" s="4"/>
    </row>
    <row r="171" spans="2:8" ht="16" x14ac:dyDescent="0.2">
      <c r="B171" s="9"/>
      <c r="C171" s="10"/>
      <c r="D171" s="10"/>
      <c r="E171" s="14"/>
      <c r="F171" s="4"/>
      <c r="G171" s="4"/>
      <c r="H171" s="4"/>
    </row>
    <row r="172" spans="2:8" ht="16" x14ac:dyDescent="0.2">
      <c r="B172" s="9"/>
      <c r="C172" s="10"/>
      <c r="D172" s="10"/>
      <c r="E172" s="14"/>
      <c r="F172" s="4"/>
      <c r="G172" s="4"/>
      <c r="H172" s="4"/>
    </row>
    <row r="173" spans="2:8" ht="16" x14ac:dyDescent="0.2">
      <c r="B173" s="9"/>
      <c r="C173" s="10"/>
      <c r="D173" s="10"/>
      <c r="E173" s="14"/>
      <c r="F173" s="4"/>
      <c r="G173" s="4"/>
      <c r="H173" s="4"/>
    </row>
    <row r="174" spans="2:8" ht="16" x14ac:dyDescent="0.2">
      <c r="B174" s="9"/>
      <c r="C174" s="10"/>
      <c r="D174" s="10"/>
      <c r="E174" s="14"/>
      <c r="F174" s="4"/>
      <c r="G174" s="4"/>
      <c r="H174" s="4"/>
    </row>
    <row r="175" spans="2:8" ht="16" x14ac:dyDescent="0.2">
      <c r="B175" s="9"/>
      <c r="C175" s="10"/>
      <c r="D175" s="10"/>
      <c r="E175" s="14"/>
      <c r="F175" s="4"/>
      <c r="G175" s="4"/>
      <c r="H175" s="4"/>
    </row>
    <row r="176" spans="2:8" ht="16" x14ac:dyDescent="0.2">
      <c r="B176" s="9"/>
      <c r="C176" s="10"/>
      <c r="D176" s="10"/>
      <c r="E176" s="14"/>
      <c r="F176" s="4"/>
      <c r="G176" s="4"/>
      <c r="H176" s="4"/>
    </row>
    <row r="177" spans="2:8" ht="16" x14ac:dyDescent="0.2">
      <c r="B177" s="9"/>
      <c r="C177" s="10"/>
      <c r="D177" s="10"/>
      <c r="E177" s="14"/>
      <c r="F177" s="4"/>
      <c r="G177" s="4"/>
      <c r="H177" s="4"/>
    </row>
    <row r="178" spans="2:8" ht="16" x14ac:dyDescent="0.2">
      <c r="B178" s="9"/>
      <c r="C178" s="10"/>
      <c r="D178" s="10"/>
      <c r="E178" s="14"/>
      <c r="F178" s="4"/>
      <c r="G178" s="4"/>
      <c r="H178" s="4"/>
    </row>
    <row r="179" spans="2:8" ht="16" x14ac:dyDescent="0.2">
      <c r="B179" s="9"/>
      <c r="C179" s="10"/>
      <c r="D179" s="10"/>
      <c r="E179" s="14"/>
      <c r="F179" s="4"/>
      <c r="G179" s="4"/>
      <c r="H179" s="4"/>
    </row>
    <row r="180" spans="2:8" ht="16" x14ac:dyDescent="0.2">
      <c r="B180" s="9"/>
      <c r="C180" s="10"/>
      <c r="D180" s="10"/>
      <c r="E180" s="14"/>
      <c r="F180" s="4"/>
      <c r="G180" s="4"/>
      <c r="H180" s="4"/>
    </row>
    <row r="181" spans="2:8" ht="16" x14ac:dyDescent="0.2">
      <c r="B181" s="9"/>
      <c r="C181" s="10"/>
      <c r="D181" s="10"/>
      <c r="E181" s="14"/>
      <c r="F181" s="4"/>
      <c r="G181" s="4"/>
      <c r="H181" s="4"/>
    </row>
    <row r="182" spans="2:8" ht="16" x14ac:dyDescent="0.2">
      <c r="B182" s="9"/>
      <c r="C182" s="10"/>
      <c r="D182" s="10"/>
      <c r="E182" s="14"/>
      <c r="F182" s="4"/>
      <c r="G182" s="4"/>
      <c r="H182" s="4"/>
    </row>
    <row r="183" spans="2:8" ht="16" x14ac:dyDescent="0.2">
      <c r="B183" s="9"/>
      <c r="C183" s="10"/>
      <c r="D183" s="10"/>
      <c r="E183" s="14"/>
      <c r="F183" s="4"/>
      <c r="G183" s="4"/>
      <c r="H183" s="4"/>
    </row>
    <row r="184" spans="2:8" ht="16" x14ac:dyDescent="0.2">
      <c r="B184" s="9"/>
      <c r="C184" s="10"/>
      <c r="D184" s="10"/>
      <c r="E184" s="14"/>
      <c r="F184" s="4"/>
      <c r="G184" s="4"/>
      <c r="H184" s="4"/>
    </row>
    <row r="185" spans="2:8" ht="16" x14ac:dyDescent="0.2">
      <c r="B185" s="9"/>
      <c r="C185" s="10"/>
      <c r="D185" s="10"/>
      <c r="E185" s="14"/>
      <c r="F185" s="4"/>
      <c r="G185" s="4"/>
      <c r="H185" s="4"/>
    </row>
    <row r="186" spans="2:8" ht="16" x14ac:dyDescent="0.2">
      <c r="B186" s="9"/>
      <c r="C186" s="10"/>
      <c r="D186" s="10"/>
      <c r="E186" s="14"/>
      <c r="F186" s="4"/>
      <c r="G186" s="4"/>
      <c r="H186" s="4"/>
    </row>
    <row r="187" spans="2:8" ht="16" x14ac:dyDescent="0.2">
      <c r="B187" s="9"/>
      <c r="C187" s="10"/>
      <c r="D187" s="10"/>
      <c r="E187" s="14"/>
      <c r="F187" s="4"/>
      <c r="G187" s="4"/>
      <c r="H187" s="4"/>
    </row>
    <row r="188" spans="2:8" ht="16" x14ac:dyDescent="0.2">
      <c r="B188" s="9"/>
      <c r="C188" s="10"/>
      <c r="D188" s="10"/>
      <c r="E188" s="14"/>
      <c r="F188" s="4"/>
      <c r="G188" s="4"/>
      <c r="H188" s="4"/>
    </row>
    <row r="189" spans="2:8" ht="16" x14ac:dyDescent="0.2">
      <c r="B189" s="9"/>
      <c r="C189" s="10"/>
      <c r="D189" s="10"/>
      <c r="E189" s="14"/>
      <c r="F189" s="4"/>
      <c r="G189" s="4"/>
      <c r="H189" s="4"/>
    </row>
    <row r="190" spans="2:8" ht="16" x14ac:dyDescent="0.2">
      <c r="B190" s="9"/>
      <c r="C190" s="10"/>
      <c r="D190" s="10"/>
      <c r="E190" s="14"/>
      <c r="F190" s="4"/>
      <c r="G190" s="4"/>
      <c r="H190" s="4"/>
    </row>
    <row r="191" spans="2:8" ht="16" x14ac:dyDescent="0.2">
      <c r="B191" s="9"/>
      <c r="C191" s="10"/>
      <c r="D191" s="10"/>
      <c r="E191" s="14"/>
      <c r="F191" s="4"/>
      <c r="G191" s="4"/>
      <c r="H191" s="4"/>
    </row>
    <row r="192" spans="2:8" ht="16" x14ac:dyDescent="0.2">
      <c r="B192" s="9"/>
      <c r="C192" s="10"/>
      <c r="D192" s="10"/>
      <c r="E192" s="14"/>
      <c r="F192" s="4"/>
      <c r="G192" s="4"/>
      <c r="H192" s="4"/>
    </row>
    <row r="193" spans="2:8" ht="16" x14ac:dyDescent="0.2">
      <c r="B193" s="9"/>
      <c r="C193" s="10"/>
      <c r="D193" s="10"/>
      <c r="E193" s="14"/>
      <c r="F193" s="4"/>
      <c r="G193" s="4"/>
      <c r="H193" s="4"/>
    </row>
    <row r="194" spans="2:8" ht="16" x14ac:dyDescent="0.2">
      <c r="B194" s="9"/>
      <c r="C194" s="10"/>
      <c r="D194" s="10"/>
      <c r="E194" s="14"/>
      <c r="F194" s="4"/>
      <c r="G194" s="4"/>
      <c r="H194" s="4"/>
    </row>
    <row r="195" spans="2:8" ht="16" x14ac:dyDescent="0.2">
      <c r="B195" s="9"/>
      <c r="C195" s="10"/>
      <c r="D195" s="10"/>
      <c r="E195" s="14"/>
      <c r="F195" s="4"/>
      <c r="G195" s="4"/>
      <c r="H195" s="4"/>
    </row>
    <row r="196" spans="2:8" ht="16" x14ac:dyDescent="0.2">
      <c r="B196" s="9"/>
      <c r="C196" s="10"/>
      <c r="D196" s="10"/>
      <c r="E196" s="14"/>
      <c r="F196" s="4"/>
      <c r="G196" s="4"/>
      <c r="H196" s="4"/>
    </row>
    <row r="197" spans="2:8" ht="16" x14ac:dyDescent="0.2">
      <c r="B197" s="9"/>
      <c r="C197" s="10"/>
      <c r="D197" s="10"/>
      <c r="E197" s="14"/>
      <c r="F197" s="4"/>
      <c r="G197" s="4"/>
      <c r="H197" s="4"/>
    </row>
    <row r="198" spans="2:8" ht="16" x14ac:dyDescent="0.2">
      <c r="B198" s="9"/>
      <c r="C198" s="10"/>
      <c r="D198" s="10"/>
      <c r="E198" s="14"/>
      <c r="F198" s="4"/>
      <c r="G198" s="4"/>
      <c r="H198" s="4"/>
    </row>
    <row r="199" spans="2:8" ht="16" x14ac:dyDescent="0.2">
      <c r="B199" s="9"/>
      <c r="C199" s="10"/>
      <c r="D199" s="10"/>
      <c r="E199" s="14"/>
      <c r="F199" s="4"/>
      <c r="G199" s="4"/>
      <c r="H199" s="4"/>
    </row>
    <row r="200" spans="2:8" ht="16" x14ac:dyDescent="0.2">
      <c r="B200" s="9"/>
      <c r="C200" s="10"/>
      <c r="D200" s="10"/>
      <c r="E200" s="14"/>
      <c r="F200" s="4"/>
      <c r="G200" s="4"/>
      <c r="H200" s="4"/>
    </row>
    <row r="201" spans="2:8" ht="16" x14ac:dyDescent="0.2">
      <c r="B201" s="9"/>
      <c r="C201" s="10"/>
      <c r="D201" s="10"/>
      <c r="E201" s="14"/>
      <c r="F201" s="4"/>
      <c r="G201" s="4"/>
      <c r="H201" s="4"/>
    </row>
    <row r="202" spans="2:8" ht="16" x14ac:dyDescent="0.2">
      <c r="B202" s="9"/>
      <c r="C202" s="10"/>
      <c r="D202" s="10"/>
      <c r="E202" s="14"/>
      <c r="F202" s="4"/>
      <c r="G202" s="4"/>
      <c r="H202" s="4"/>
    </row>
    <row r="203" spans="2:8" ht="16" x14ac:dyDescent="0.2">
      <c r="B203" s="9"/>
      <c r="C203" s="10"/>
      <c r="D203" s="10"/>
      <c r="E203" s="14"/>
      <c r="F203" s="4"/>
      <c r="G203" s="4"/>
      <c r="H203" s="4"/>
    </row>
    <row r="204" spans="2:8" ht="16" x14ac:dyDescent="0.2">
      <c r="B204" s="9"/>
      <c r="C204" s="10"/>
      <c r="D204" s="10"/>
      <c r="E204" s="14"/>
      <c r="F204" s="4"/>
      <c r="G204" s="4"/>
      <c r="H204" s="4"/>
    </row>
    <row r="205" spans="2:8" ht="16" x14ac:dyDescent="0.2">
      <c r="B205" s="9"/>
      <c r="C205" s="10"/>
      <c r="D205" s="10"/>
      <c r="E205" s="14"/>
      <c r="F205" s="4"/>
      <c r="G205" s="4"/>
      <c r="H205" s="4"/>
    </row>
    <row r="206" spans="2:8" ht="16" x14ac:dyDescent="0.2">
      <c r="B206" s="9"/>
      <c r="C206" s="10"/>
      <c r="D206" s="10"/>
      <c r="E206" s="14"/>
      <c r="F206" s="4"/>
      <c r="G206" s="4"/>
      <c r="H206" s="4"/>
    </row>
    <row r="207" spans="2:8" ht="16" x14ac:dyDescent="0.2">
      <c r="B207" s="9"/>
      <c r="C207" s="10"/>
      <c r="D207" s="10"/>
      <c r="E207" s="14"/>
      <c r="F207" s="4"/>
      <c r="G207" s="4"/>
      <c r="H207" s="4"/>
    </row>
    <row r="208" spans="2:8" ht="16" x14ac:dyDescent="0.2">
      <c r="B208" s="9"/>
      <c r="C208" s="10"/>
      <c r="D208" s="10"/>
      <c r="E208" s="14"/>
      <c r="F208" s="4"/>
      <c r="G208" s="4"/>
      <c r="H208" s="4"/>
    </row>
    <row r="209" spans="2:8" ht="16" x14ac:dyDescent="0.2">
      <c r="B209" s="9"/>
      <c r="C209" s="10"/>
      <c r="D209" s="10"/>
      <c r="E209" s="14"/>
      <c r="F209" s="4"/>
      <c r="G209" s="4"/>
      <c r="H209" s="4"/>
    </row>
    <row r="210" spans="2:8" ht="16" x14ac:dyDescent="0.2">
      <c r="B210" s="9"/>
      <c r="C210" s="10"/>
      <c r="D210" s="10"/>
      <c r="E210" s="14"/>
      <c r="F210" s="4"/>
      <c r="G210" s="4"/>
      <c r="H210" s="4"/>
    </row>
    <row r="211" spans="2:8" ht="16" x14ac:dyDescent="0.2">
      <c r="B211" s="9"/>
      <c r="C211" s="10"/>
      <c r="D211" s="10"/>
      <c r="E211" s="14"/>
      <c r="F211" s="4"/>
      <c r="G211" s="4"/>
      <c r="H211" s="4"/>
    </row>
    <row r="212" spans="2:8" ht="16" x14ac:dyDescent="0.2">
      <c r="B212" s="9"/>
      <c r="C212" s="10"/>
      <c r="D212" s="10"/>
      <c r="E212" s="14"/>
      <c r="F212" s="4"/>
      <c r="G212" s="4"/>
      <c r="H212" s="4"/>
    </row>
    <row r="213" spans="2:8" ht="16" x14ac:dyDescent="0.2">
      <c r="B213" s="9"/>
      <c r="C213" s="10"/>
      <c r="D213" s="10"/>
      <c r="E213" s="14"/>
      <c r="F213" s="4"/>
      <c r="G213" s="4"/>
      <c r="H213" s="4"/>
    </row>
    <row r="214" spans="2:8" ht="16" x14ac:dyDescent="0.2">
      <c r="B214" s="9"/>
      <c r="C214" s="10"/>
      <c r="D214" s="10"/>
      <c r="E214" s="14"/>
      <c r="F214" s="4"/>
      <c r="G214" s="4"/>
      <c r="H214" s="4"/>
    </row>
    <row r="215" spans="2:8" ht="16" x14ac:dyDescent="0.2">
      <c r="B215" s="9"/>
      <c r="C215" s="10"/>
      <c r="D215" s="10"/>
      <c r="E215" s="14"/>
      <c r="F215" s="4"/>
      <c r="G215" s="4"/>
      <c r="H215" s="4"/>
    </row>
    <row r="216" spans="2:8" ht="16" x14ac:dyDescent="0.2">
      <c r="B216" s="9"/>
      <c r="C216" s="10"/>
      <c r="D216" s="10"/>
      <c r="E216" s="14"/>
      <c r="F216" s="4"/>
      <c r="G216" s="4"/>
      <c r="H216" s="4"/>
    </row>
    <row r="217" spans="2:8" ht="16" x14ac:dyDescent="0.2">
      <c r="B217" s="9"/>
      <c r="C217" s="10"/>
      <c r="D217" s="10"/>
      <c r="E217" s="14"/>
      <c r="F217" s="4"/>
      <c r="G217" s="4"/>
      <c r="H217" s="4"/>
    </row>
    <row r="218" spans="2:8" ht="16" x14ac:dyDescent="0.2">
      <c r="B218" s="9"/>
      <c r="C218" s="10"/>
      <c r="D218" s="10"/>
      <c r="E218" s="14"/>
      <c r="F218" s="4"/>
      <c r="G218" s="4"/>
      <c r="H218" s="4"/>
    </row>
    <row r="219" spans="2:8" ht="16" x14ac:dyDescent="0.2">
      <c r="B219" s="9"/>
      <c r="C219" s="10"/>
      <c r="D219" s="10"/>
      <c r="E219" s="14"/>
      <c r="F219" s="4"/>
      <c r="G219" s="4"/>
      <c r="H219" s="4"/>
    </row>
    <row r="220" spans="2:8" ht="16" x14ac:dyDescent="0.2">
      <c r="B220" s="9"/>
      <c r="C220" s="10"/>
      <c r="D220" s="10"/>
      <c r="E220" s="14"/>
      <c r="F220" s="4"/>
      <c r="G220" s="4"/>
      <c r="H220" s="4"/>
    </row>
    <row r="221" spans="2:8" ht="16" x14ac:dyDescent="0.2">
      <c r="B221" s="9"/>
      <c r="C221" s="10"/>
      <c r="D221" s="10"/>
      <c r="E221" s="14"/>
      <c r="F221" s="4"/>
      <c r="G221" s="4"/>
      <c r="H221" s="4"/>
    </row>
    <row r="222" spans="2:8" ht="16" x14ac:dyDescent="0.2">
      <c r="B222" s="9"/>
      <c r="C222" s="10"/>
      <c r="D222" s="10"/>
      <c r="E222" s="14"/>
      <c r="F222" s="4"/>
      <c r="G222" s="4"/>
      <c r="H222" s="4"/>
    </row>
    <row r="223" spans="2:8" ht="16" x14ac:dyDescent="0.2">
      <c r="B223" s="9"/>
      <c r="C223" s="10"/>
      <c r="D223" s="10"/>
      <c r="E223" s="14"/>
      <c r="F223" s="4"/>
      <c r="G223" s="4"/>
      <c r="H223" s="4"/>
    </row>
    <row r="224" spans="2:8" ht="16" x14ac:dyDescent="0.2">
      <c r="B224" s="9"/>
      <c r="C224" s="10"/>
      <c r="D224" s="10"/>
      <c r="E224" s="14"/>
      <c r="F224" s="4"/>
      <c r="G224" s="4"/>
      <c r="H224" s="4"/>
    </row>
    <row r="225" spans="2:8" ht="16" x14ac:dyDescent="0.2">
      <c r="B225" s="9"/>
      <c r="C225" s="10"/>
      <c r="D225" s="10"/>
      <c r="E225" s="14"/>
      <c r="F225" s="4"/>
      <c r="G225" s="4"/>
      <c r="H225" s="4"/>
    </row>
    <row r="226" spans="2:8" ht="16" x14ac:dyDescent="0.2">
      <c r="B226" s="9"/>
      <c r="C226" s="10"/>
      <c r="D226" s="10"/>
      <c r="E226" s="14"/>
      <c r="F226" s="4"/>
      <c r="G226" s="4"/>
      <c r="H226" s="4"/>
    </row>
    <row r="227" spans="2:8" ht="16" x14ac:dyDescent="0.2">
      <c r="B227" s="9"/>
      <c r="C227" s="10"/>
      <c r="D227" s="10"/>
      <c r="E227" s="14"/>
      <c r="F227" s="4"/>
      <c r="G227" s="4"/>
      <c r="H227" s="4"/>
    </row>
    <row r="228" spans="2:8" ht="16" x14ac:dyDescent="0.2">
      <c r="B228" s="9"/>
      <c r="C228" s="10"/>
      <c r="D228" s="10"/>
      <c r="E228" s="14"/>
      <c r="F228" s="4"/>
      <c r="G228" s="4"/>
      <c r="H228" s="4"/>
    </row>
    <row r="229" spans="2:8" ht="16" x14ac:dyDescent="0.2">
      <c r="B229" s="9"/>
      <c r="C229" s="10"/>
      <c r="D229" s="10"/>
      <c r="E229" s="14"/>
      <c r="F229" s="4"/>
      <c r="G229" s="4"/>
      <c r="H229" s="4"/>
    </row>
    <row r="230" spans="2:8" ht="16" x14ac:dyDescent="0.2">
      <c r="B230" s="9"/>
      <c r="C230" s="10"/>
      <c r="D230" s="10"/>
      <c r="E230" s="14"/>
      <c r="F230" s="4"/>
      <c r="G230" s="4"/>
      <c r="H230" s="4"/>
    </row>
    <row r="231" spans="2:8" ht="16" x14ac:dyDescent="0.2">
      <c r="B231" s="9"/>
      <c r="C231" s="10"/>
      <c r="D231" s="10"/>
      <c r="E231" s="14"/>
      <c r="F231" s="4"/>
      <c r="G231" s="4"/>
      <c r="H231" s="4"/>
    </row>
    <row r="232" spans="2:8" ht="16" x14ac:dyDescent="0.2">
      <c r="B232" s="9"/>
      <c r="C232" s="10"/>
      <c r="D232" s="10"/>
      <c r="E232" s="14"/>
      <c r="F232" s="4"/>
      <c r="G232" s="4"/>
      <c r="H232" s="4"/>
    </row>
    <row r="233" spans="2:8" ht="16" x14ac:dyDescent="0.2">
      <c r="B233" s="9"/>
      <c r="C233" s="10"/>
      <c r="D233" s="10"/>
      <c r="E233" s="14"/>
      <c r="F233" s="4"/>
      <c r="G233" s="4"/>
      <c r="H233" s="4"/>
    </row>
    <row r="234" spans="2:8" ht="16" x14ac:dyDescent="0.2">
      <c r="B234" s="9"/>
      <c r="C234" s="10"/>
      <c r="D234" s="10"/>
      <c r="E234" s="14"/>
      <c r="F234" s="4"/>
      <c r="G234" s="4"/>
      <c r="H234" s="4"/>
    </row>
    <row r="235" spans="2:8" ht="16" x14ac:dyDescent="0.2">
      <c r="B235" s="9"/>
      <c r="C235" s="10"/>
      <c r="D235" s="10"/>
      <c r="E235" s="14"/>
      <c r="F235" s="4"/>
      <c r="G235" s="4"/>
      <c r="H235" s="4"/>
    </row>
    <row r="236" spans="2:8" ht="16" x14ac:dyDescent="0.2">
      <c r="B236" s="9"/>
      <c r="C236" s="10"/>
      <c r="D236" s="10"/>
      <c r="E236" s="14"/>
      <c r="F236" s="4"/>
      <c r="G236" s="4"/>
      <c r="H236" s="4"/>
    </row>
    <row r="237" spans="2:8" ht="16" x14ac:dyDescent="0.2">
      <c r="B237" s="9"/>
      <c r="C237" s="10"/>
      <c r="D237" s="10"/>
      <c r="E237" s="14"/>
      <c r="F237" s="4"/>
      <c r="G237" s="4"/>
      <c r="H237" s="4"/>
    </row>
    <row r="238" spans="2:8" ht="16" x14ac:dyDescent="0.2">
      <c r="B238" s="9"/>
      <c r="C238" s="10"/>
      <c r="D238" s="10"/>
      <c r="E238" s="14"/>
      <c r="F238" s="4"/>
      <c r="G238" s="4"/>
      <c r="H238" s="4"/>
    </row>
    <row r="239" spans="2:8" ht="16" x14ac:dyDescent="0.2">
      <c r="B239" s="9"/>
      <c r="C239" s="10"/>
      <c r="D239" s="10"/>
      <c r="E239" s="14"/>
      <c r="F239" s="4"/>
      <c r="G239" s="4"/>
      <c r="H239" s="4"/>
    </row>
    <row r="240" spans="2:8" ht="16" x14ac:dyDescent="0.2">
      <c r="B240" s="9"/>
      <c r="C240" s="10"/>
      <c r="D240" s="10"/>
      <c r="E240" s="14"/>
      <c r="F240" s="4"/>
      <c r="G240" s="4"/>
      <c r="H240" s="4"/>
    </row>
    <row r="241" spans="2:8" ht="16" x14ac:dyDescent="0.2">
      <c r="B241" s="9"/>
      <c r="C241" s="10"/>
      <c r="D241" s="10"/>
      <c r="E241" s="14"/>
      <c r="F241" s="4"/>
      <c r="G241" s="4"/>
      <c r="H241" s="4"/>
    </row>
    <row r="242" spans="2:8" ht="16" x14ac:dyDescent="0.2">
      <c r="B242" s="9"/>
      <c r="C242" s="10"/>
      <c r="D242" s="10"/>
      <c r="E242" s="14"/>
      <c r="F242" s="4"/>
      <c r="G242" s="4"/>
      <c r="H242" s="4"/>
    </row>
    <row r="243" spans="2:8" ht="16" x14ac:dyDescent="0.2">
      <c r="B243" s="9"/>
      <c r="C243" s="10"/>
      <c r="D243" s="10"/>
      <c r="E243" s="14"/>
      <c r="F243" s="4"/>
      <c r="G243" s="4"/>
      <c r="H243" s="4"/>
    </row>
    <row r="244" spans="2:8" ht="16" x14ac:dyDescent="0.2">
      <c r="B244" s="9"/>
      <c r="C244" s="10"/>
      <c r="D244" s="10"/>
      <c r="E244" s="14"/>
      <c r="F244" s="4"/>
      <c r="G244" s="4"/>
      <c r="H244" s="4"/>
    </row>
    <row r="245" spans="2:8" ht="16" x14ac:dyDescent="0.2">
      <c r="B245" s="9"/>
      <c r="C245" s="10"/>
      <c r="D245" s="10"/>
      <c r="E245" s="14"/>
      <c r="F245" s="4"/>
      <c r="G245" s="4"/>
      <c r="H245" s="4"/>
    </row>
    <row r="246" spans="2:8" ht="16" x14ac:dyDescent="0.2">
      <c r="B246" s="9"/>
      <c r="C246" s="10"/>
      <c r="D246" s="10"/>
      <c r="E246" s="14"/>
      <c r="F246" s="4"/>
      <c r="G246" s="4"/>
      <c r="H246" s="4"/>
    </row>
    <row r="247" spans="2:8" ht="16" x14ac:dyDescent="0.2">
      <c r="B247" s="9"/>
      <c r="C247" s="10"/>
      <c r="D247" s="10"/>
      <c r="E247" s="14"/>
      <c r="F247" s="4"/>
      <c r="G247" s="4"/>
      <c r="H247" s="4"/>
    </row>
    <row r="248" spans="2:8" ht="16" x14ac:dyDescent="0.2">
      <c r="B248" s="9"/>
      <c r="C248" s="10"/>
      <c r="D248" s="10"/>
      <c r="E248" s="14"/>
      <c r="F248" s="4"/>
      <c r="G248" s="4"/>
      <c r="H248" s="4"/>
    </row>
    <row r="249" spans="2:8" ht="16" x14ac:dyDescent="0.2">
      <c r="B249" s="9"/>
      <c r="C249" s="10"/>
      <c r="D249" s="10"/>
      <c r="E249" s="14"/>
      <c r="F249" s="4"/>
      <c r="G249" s="4"/>
      <c r="H249" s="4"/>
    </row>
    <row r="250" spans="2:8" ht="16" x14ac:dyDescent="0.2">
      <c r="B250" s="9"/>
      <c r="C250" s="10"/>
      <c r="D250" s="10"/>
      <c r="E250" s="14"/>
      <c r="F250" s="4"/>
      <c r="G250" s="4"/>
      <c r="H250" s="4"/>
    </row>
    <row r="251" spans="2:8" ht="16" x14ac:dyDescent="0.2">
      <c r="B251" s="9"/>
      <c r="C251" s="10"/>
      <c r="D251" s="10"/>
      <c r="E251" s="14"/>
      <c r="F251" s="4"/>
      <c r="G251" s="4"/>
      <c r="H251" s="4"/>
    </row>
    <row r="252" spans="2:8" ht="16" x14ac:dyDescent="0.2">
      <c r="B252" s="9"/>
      <c r="C252" s="10"/>
      <c r="D252" s="10"/>
      <c r="E252" s="14"/>
      <c r="F252" s="4"/>
      <c r="G252" s="4"/>
      <c r="H252" s="4"/>
    </row>
    <row r="253" spans="2:8" ht="16" x14ac:dyDescent="0.2">
      <c r="B253" s="9"/>
      <c r="C253" s="10"/>
      <c r="D253" s="10"/>
      <c r="E253" s="14"/>
      <c r="F253" s="4"/>
      <c r="G253" s="4"/>
      <c r="H253" s="4"/>
    </row>
    <row r="254" spans="2:8" ht="16" x14ac:dyDescent="0.2">
      <c r="B254" s="9"/>
      <c r="C254" s="10"/>
      <c r="D254" s="10"/>
      <c r="E254" s="14"/>
      <c r="F254" s="4"/>
      <c r="G254" s="4"/>
      <c r="H254" s="4"/>
    </row>
    <row r="255" spans="2:8" ht="16" x14ac:dyDescent="0.2">
      <c r="B255" s="9"/>
      <c r="C255" s="10"/>
      <c r="D255" s="10"/>
      <c r="E255" s="14"/>
      <c r="F255" s="4"/>
      <c r="G255" s="4"/>
      <c r="H255" s="4"/>
    </row>
    <row r="256" spans="2:8" ht="16" x14ac:dyDescent="0.2">
      <c r="B256" s="9"/>
      <c r="C256" s="10"/>
      <c r="D256" s="10"/>
      <c r="E256" s="14"/>
      <c r="F256" s="4"/>
      <c r="G256" s="4"/>
      <c r="H256" s="4"/>
    </row>
    <row r="257" spans="2:8" ht="16" x14ac:dyDescent="0.2">
      <c r="B257" s="9"/>
      <c r="C257" s="10"/>
      <c r="D257" s="10"/>
      <c r="E257" s="14"/>
      <c r="F257" s="4"/>
      <c r="G257" s="4"/>
      <c r="H257" s="4"/>
    </row>
    <row r="258" spans="2:8" ht="16" x14ac:dyDescent="0.2">
      <c r="B258" s="9"/>
      <c r="C258" s="10"/>
      <c r="D258" s="10"/>
      <c r="E258" s="14"/>
      <c r="F258" s="4"/>
      <c r="G258" s="4"/>
      <c r="H258" s="4"/>
    </row>
    <row r="259" spans="2:8" ht="16" x14ac:dyDescent="0.2">
      <c r="B259" s="9"/>
      <c r="C259" s="10"/>
      <c r="D259" s="10"/>
      <c r="E259" s="14"/>
      <c r="F259" s="4"/>
      <c r="G259" s="4"/>
      <c r="H259" s="4"/>
    </row>
    <row r="260" spans="2:8" ht="16" x14ac:dyDescent="0.2">
      <c r="B260" s="9"/>
      <c r="C260" s="10"/>
      <c r="D260" s="10"/>
      <c r="E260" s="14"/>
      <c r="F260" s="4"/>
      <c r="G260" s="4"/>
      <c r="H260" s="4"/>
    </row>
    <row r="261" spans="2:8" ht="16" x14ac:dyDescent="0.2">
      <c r="B261" s="9"/>
      <c r="C261" s="10"/>
      <c r="D261" s="10"/>
      <c r="E261" s="14"/>
      <c r="F261" s="4"/>
      <c r="G261" s="4"/>
      <c r="H261" s="4"/>
    </row>
    <row r="262" spans="2:8" ht="16" x14ac:dyDescent="0.2">
      <c r="B262" s="9"/>
      <c r="C262" s="10"/>
      <c r="D262" s="10"/>
      <c r="E262" s="14"/>
      <c r="F262" s="4"/>
      <c r="G262" s="4"/>
      <c r="H262" s="4"/>
    </row>
    <row r="263" spans="2:8" ht="16" x14ac:dyDescent="0.2">
      <c r="B263" s="9"/>
      <c r="C263" s="10"/>
      <c r="D263" s="10"/>
      <c r="E263" s="14"/>
      <c r="F263" s="4"/>
      <c r="G263" s="4"/>
      <c r="H263" s="4"/>
    </row>
    <row r="264" spans="2:8" ht="16" x14ac:dyDescent="0.2">
      <c r="B264" s="9"/>
      <c r="C264" s="10"/>
      <c r="D264" s="10"/>
      <c r="E264" s="14"/>
      <c r="F264" s="4"/>
      <c r="G264" s="4"/>
      <c r="H264" s="4"/>
    </row>
    <row r="265" spans="2:8" ht="16" x14ac:dyDescent="0.2">
      <c r="B265" s="9"/>
      <c r="C265" s="10"/>
      <c r="D265" s="10"/>
      <c r="E265" s="14"/>
      <c r="F265" s="4"/>
      <c r="G265" s="4"/>
      <c r="H265" s="4"/>
    </row>
    <row r="266" spans="2:8" ht="16" x14ac:dyDescent="0.2">
      <c r="B266" s="9"/>
      <c r="C266" s="10"/>
      <c r="D266" s="10"/>
      <c r="E266" s="14"/>
      <c r="F266" s="4"/>
      <c r="G266" s="4"/>
      <c r="H266" s="4"/>
    </row>
    <row r="267" spans="2:8" ht="16" x14ac:dyDescent="0.2">
      <c r="B267" s="9"/>
      <c r="C267" s="10"/>
      <c r="D267" s="10"/>
      <c r="E267" s="14"/>
      <c r="F267" s="4"/>
      <c r="G267" s="4"/>
      <c r="H267" s="4"/>
    </row>
    <row r="268" spans="2:8" ht="16" x14ac:dyDescent="0.2">
      <c r="B268" s="9"/>
      <c r="C268" s="10"/>
      <c r="D268" s="10"/>
      <c r="E268" s="14"/>
      <c r="F268" s="4"/>
      <c r="G268" s="4"/>
      <c r="H268" s="4"/>
    </row>
    <row r="269" spans="2:8" ht="16" x14ac:dyDescent="0.2">
      <c r="B269" s="9"/>
      <c r="C269" s="10"/>
      <c r="D269" s="10"/>
      <c r="E269" s="14"/>
      <c r="F269" s="4"/>
      <c r="G269" s="4"/>
      <c r="H269" s="4"/>
    </row>
    <row r="270" spans="2:8" ht="16" x14ac:dyDescent="0.2">
      <c r="B270" s="9"/>
      <c r="C270" s="10"/>
      <c r="D270" s="10"/>
      <c r="E270" s="14"/>
      <c r="F270" s="4"/>
      <c r="G270" s="4"/>
      <c r="H270" s="4"/>
    </row>
    <row r="271" spans="2:8" ht="16" x14ac:dyDescent="0.2">
      <c r="B271" s="9"/>
      <c r="C271" s="10"/>
      <c r="D271" s="10"/>
      <c r="E271" s="14"/>
      <c r="F271" s="4"/>
      <c r="G271" s="4"/>
      <c r="H271" s="4"/>
    </row>
    <row r="272" spans="2:8" ht="16" x14ac:dyDescent="0.2">
      <c r="B272" s="9"/>
      <c r="C272" s="10"/>
      <c r="D272" s="10"/>
      <c r="E272" s="14"/>
      <c r="F272" s="4"/>
      <c r="G272" s="4"/>
      <c r="H272" s="4"/>
    </row>
    <row r="273" spans="2:8" ht="16" x14ac:dyDescent="0.2">
      <c r="B273" s="9"/>
      <c r="C273" s="10"/>
      <c r="D273" s="10"/>
      <c r="E273" s="14"/>
      <c r="F273" s="4"/>
      <c r="G273" s="4"/>
      <c r="H273" s="4"/>
    </row>
    <row r="274" spans="2:8" ht="16" x14ac:dyDescent="0.2">
      <c r="B274" s="9"/>
      <c r="C274" s="10"/>
      <c r="D274" s="10"/>
      <c r="E274" s="14"/>
      <c r="F274" s="4"/>
      <c r="G274" s="4"/>
      <c r="H274" s="4"/>
    </row>
    <row r="275" spans="2:8" ht="16" x14ac:dyDescent="0.2">
      <c r="B275" s="9"/>
      <c r="C275" s="10"/>
      <c r="D275" s="10"/>
      <c r="E275" s="14"/>
      <c r="F275" s="4"/>
      <c r="G275" s="4"/>
      <c r="H275" s="4"/>
    </row>
    <row r="276" spans="2:8" ht="16" x14ac:dyDescent="0.2">
      <c r="B276" s="9"/>
      <c r="C276" s="10"/>
      <c r="D276" s="10"/>
      <c r="E276" s="14"/>
      <c r="F276" s="4"/>
      <c r="G276" s="4"/>
      <c r="H276" s="4"/>
    </row>
    <row r="277" spans="2:8" ht="16" x14ac:dyDescent="0.2">
      <c r="B277" s="9"/>
      <c r="C277" s="10"/>
      <c r="D277" s="10"/>
      <c r="E277" s="14"/>
      <c r="F277" s="4"/>
      <c r="G277" s="4"/>
      <c r="H277" s="4"/>
    </row>
    <row r="278" spans="2:8" ht="16" x14ac:dyDescent="0.2">
      <c r="B278" s="9"/>
      <c r="C278" s="10"/>
      <c r="D278" s="10"/>
      <c r="E278" s="14"/>
      <c r="F278" s="4"/>
      <c r="G278" s="4"/>
      <c r="H278" s="4"/>
    </row>
    <row r="279" spans="2:8" ht="16" x14ac:dyDescent="0.2">
      <c r="B279" s="9"/>
      <c r="C279" s="10"/>
      <c r="D279" s="10"/>
      <c r="E279" s="14"/>
      <c r="F279" s="4"/>
      <c r="G279" s="4"/>
      <c r="H279" s="4"/>
    </row>
    <row r="280" spans="2:8" ht="16" x14ac:dyDescent="0.2">
      <c r="B280" s="9"/>
      <c r="C280" s="10"/>
      <c r="D280" s="10"/>
      <c r="E280" s="14"/>
      <c r="F280" s="4"/>
      <c r="G280" s="4"/>
      <c r="H280" s="4"/>
    </row>
    <row r="281" spans="2:8" ht="16" x14ac:dyDescent="0.2">
      <c r="B281" s="9"/>
      <c r="C281" s="10"/>
      <c r="D281" s="10"/>
      <c r="E281" s="14"/>
      <c r="F281" s="4"/>
      <c r="G281" s="4"/>
      <c r="H281" s="4"/>
    </row>
    <row r="282" spans="2:8" ht="16" x14ac:dyDescent="0.2">
      <c r="B282" s="9"/>
      <c r="C282" s="10"/>
      <c r="D282" s="10"/>
      <c r="E282" s="14"/>
      <c r="F282" s="4"/>
      <c r="G282" s="4"/>
      <c r="H282" s="4"/>
    </row>
    <row r="283" spans="2:8" ht="16" x14ac:dyDescent="0.2">
      <c r="B283" s="9"/>
      <c r="C283" s="10"/>
      <c r="D283" s="10"/>
      <c r="E283" s="14"/>
      <c r="F283" s="4"/>
      <c r="G283" s="4"/>
      <c r="H283" s="4"/>
    </row>
    <row r="284" spans="2:8" ht="16" x14ac:dyDescent="0.2">
      <c r="B284" s="9"/>
      <c r="C284" s="10"/>
      <c r="D284" s="10"/>
      <c r="E284" s="14"/>
      <c r="F284" s="4"/>
      <c r="G284" s="4"/>
      <c r="H284" s="4"/>
    </row>
    <row r="285" spans="2:8" ht="16" x14ac:dyDescent="0.2">
      <c r="B285" s="9"/>
      <c r="C285" s="10"/>
      <c r="D285" s="10"/>
      <c r="E285" s="14"/>
      <c r="F285" s="4"/>
      <c r="G285" s="4"/>
      <c r="H285" s="4"/>
    </row>
    <row r="286" spans="2:8" ht="16" x14ac:dyDescent="0.2">
      <c r="B286" s="9"/>
      <c r="C286" s="10"/>
      <c r="D286" s="10"/>
      <c r="E286" s="14"/>
      <c r="F286" s="4"/>
      <c r="G286" s="4"/>
      <c r="H286" s="4"/>
    </row>
    <row r="287" spans="2:8" ht="16" x14ac:dyDescent="0.2">
      <c r="B287" s="9"/>
      <c r="C287" s="10"/>
      <c r="D287" s="10"/>
      <c r="E287" s="14"/>
      <c r="F287" s="4"/>
      <c r="G287" s="4"/>
      <c r="H287" s="4"/>
    </row>
    <row r="288" spans="2:8" ht="16" x14ac:dyDescent="0.2">
      <c r="B288" s="9"/>
      <c r="C288" s="10"/>
      <c r="D288" s="10"/>
      <c r="E288" s="14"/>
      <c r="F288" s="4"/>
      <c r="G288" s="4"/>
      <c r="H288" s="4"/>
    </row>
    <row r="289" spans="2:8" ht="16" x14ac:dyDescent="0.2">
      <c r="B289" s="9"/>
      <c r="C289" s="10"/>
      <c r="D289" s="10"/>
      <c r="E289" s="14"/>
      <c r="F289" s="4"/>
      <c r="G289" s="4"/>
      <c r="H289" s="4"/>
    </row>
    <row r="290" spans="2:8" ht="16" x14ac:dyDescent="0.2">
      <c r="B290" s="9"/>
      <c r="C290" s="10"/>
      <c r="D290" s="10"/>
      <c r="E290" s="14"/>
      <c r="F290" s="4"/>
      <c r="G290" s="4"/>
      <c r="H290" s="4"/>
    </row>
    <row r="291" spans="2:8" ht="16" x14ac:dyDescent="0.2">
      <c r="B291" s="9"/>
      <c r="C291" s="10"/>
      <c r="D291" s="10"/>
      <c r="E291" s="14"/>
      <c r="F291" s="4"/>
      <c r="G291" s="4"/>
      <c r="H291" s="4"/>
    </row>
    <row r="292" spans="2:8" ht="16" x14ac:dyDescent="0.2">
      <c r="B292" s="9"/>
      <c r="C292" s="10"/>
      <c r="D292" s="10"/>
      <c r="E292" s="14"/>
      <c r="F292" s="4"/>
      <c r="G292" s="4"/>
      <c r="H292" s="4"/>
    </row>
    <row r="293" spans="2:8" ht="16" x14ac:dyDescent="0.2">
      <c r="B293" s="9"/>
      <c r="C293" s="10"/>
      <c r="D293" s="10"/>
      <c r="E293" s="14"/>
      <c r="F293" s="4"/>
      <c r="G293" s="4"/>
      <c r="H293" s="4"/>
    </row>
    <row r="294" spans="2:8" ht="16" x14ac:dyDescent="0.2">
      <c r="B294" s="9"/>
      <c r="C294" s="10"/>
      <c r="D294" s="10"/>
      <c r="E294" s="14"/>
      <c r="F294" s="4"/>
      <c r="G294" s="4"/>
      <c r="H294" s="4"/>
    </row>
    <row r="295" spans="2:8" ht="16" x14ac:dyDescent="0.2">
      <c r="B295" s="9"/>
      <c r="C295" s="10"/>
      <c r="D295" s="10"/>
      <c r="E295" s="14"/>
      <c r="F295" s="4"/>
      <c r="G295" s="4"/>
      <c r="H295" s="4"/>
    </row>
    <row r="296" spans="2:8" ht="16" x14ac:dyDescent="0.2">
      <c r="B296" s="9"/>
      <c r="C296" s="10"/>
      <c r="D296" s="10"/>
      <c r="E296" s="14"/>
      <c r="F296" s="4"/>
      <c r="G296" s="4"/>
      <c r="H296" s="4"/>
    </row>
    <row r="297" spans="2:8" ht="16" x14ac:dyDescent="0.2">
      <c r="B297" s="9"/>
      <c r="C297" s="10"/>
      <c r="D297" s="10"/>
      <c r="E297" s="14"/>
      <c r="F297" s="4"/>
      <c r="G297" s="4"/>
      <c r="H297" s="4"/>
    </row>
    <row r="298" spans="2:8" ht="16" x14ac:dyDescent="0.2">
      <c r="B298" s="9"/>
      <c r="C298" s="10"/>
      <c r="D298" s="10"/>
      <c r="E298" s="14"/>
      <c r="F298" s="4"/>
      <c r="G298" s="4"/>
      <c r="H298" s="4"/>
    </row>
    <row r="299" spans="2:8" ht="16" x14ac:dyDescent="0.2">
      <c r="B299" s="9"/>
      <c r="C299" s="10"/>
      <c r="D299" s="10"/>
      <c r="E299" s="14"/>
      <c r="F299" s="4"/>
      <c r="G299" s="4"/>
      <c r="H299" s="4"/>
    </row>
    <row r="300" spans="2:8" ht="16" x14ac:dyDescent="0.2">
      <c r="B300" s="9"/>
      <c r="C300" s="10"/>
      <c r="D300" s="10"/>
      <c r="E300" s="14"/>
      <c r="F300" s="4"/>
      <c r="G300" s="4"/>
      <c r="H300" s="4"/>
    </row>
    <row r="301" spans="2:8" ht="16" x14ac:dyDescent="0.2">
      <c r="B301" s="9"/>
      <c r="C301" s="10"/>
      <c r="D301" s="10"/>
      <c r="E301" s="14"/>
      <c r="F301" s="4"/>
      <c r="G301" s="4"/>
      <c r="H301" s="4"/>
    </row>
    <row r="302" spans="2:8" ht="16" x14ac:dyDescent="0.2">
      <c r="B302" s="9"/>
      <c r="C302" s="10"/>
      <c r="D302" s="10"/>
      <c r="E302" s="14"/>
      <c r="F302" s="4"/>
      <c r="G302" s="4"/>
      <c r="H302" s="4"/>
    </row>
    <row r="303" spans="2:8" ht="16" x14ac:dyDescent="0.2">
      <c r="B303" s="9"/>
      <c r="C303" s="10"/>
      <c r="D303" s="10"/>
      <c r="E303" s="14"/>
      <c r="F303" s="4"/>
      <c r="G303" s="4"/>
      <c r="H303" s="4"/>
    </row>
    <row r="304" spans="2:8" ht="16" x14ac:dyDescent="0.2">
      <c r="B304" s="9"/>
      <c r="C304" s="10"/>
      <c r="D304" s="10"/>
      <c r="E304" s="14"/>
      <c r="F304" s="4"/>
      <c r="G304" s="4"/>
      <c r="H304" s="4"/>
    </row>
    <row r="305" spans="2:8" ht="16" x14ac:dyDescent="0.2">
      <c r="B305" s="9"/>
      <c r="C305" s="10"/>
      <c r="D305" s="10"/>
      <c r="E305" s="14"/>
      <c r="F305" s="4"/>
      <c r="G305" s="4"/>
      <c r="H305" s="4"/>
    </row>
    <row r="306" spans="2:8" ht="16" x14ac:dyDescent="0.2">
      <c r="B306" s="9"/>
      <c r="C306" s="10"/>
      <c r="D306" s="10"/>
      <c r="E306" s="14"/>
      <c r="F306" s="4"/>
      <c r="G306" s="4"/>
      <c r="H306" s="4"/>
    </row>
    <row r="307" spans="2:8" ht="16" x14ac:dyDescent="0.2">
      <c r="B307" s="9"/>
      <c r="C307" s="10"/>
      <c r="D307" s="10"/>
      <c r="E307" s="14"/>
      <c r="F307" s="4"/>
      <c r="G307" s="4"/>
      <c r="H307" s="4"/>
    </row>
    <row r="308" spans="2:8" ht="16" x14ac:dyDescent="0.2">
      <c r="B308" s="9"/>
      <c r="C308" s="10"/>
      <c r="D308" s="10"/>
      <c r="E308" s="14"/>
      <c r="F308" s="4"/>
      <c r="G308" s="4"/>
      <c r="H308" s="4"/>
    </row>
    <row r="309" spans="2:8" ht="16" x14ac:dyDescent="0.2">
      <c r="B309" s="9"/>
      <c r="C309" s="10"/>
      <c r="D309" s="10"/>
      <c r="E309" s="14"/>
      <c r="F309" s="4"/>
      <c r="G309" s="4"/>
      <c r="H309" s="4"/>
    </row>
    <row r="310" spans="2:8" ht="16" x14ac:dyDescent="0.2">
      <c r="B310" s="9"/>
      <c r="C310" s="10"/>
      <c r="D310" s="10"/>
      <c r="E310" s="14"/>
      <c r="F310" s="4"/>
      <c r="G310" s="4"/>
      <c r="H310" s="4"/>
    </row>
    <row r="311" spans="2:8" ht="16" x14ac:dyDescent="0.2">
      <c r="B311" s="9"/>
      <c r="C311" s="10"/>
      <c r="D311" s="10"/>
      <c r="E311" s="14"/>
      <c r="F311" s="4"/>
      <c r="G311" s="4"/>
      <c r="H311" s="4"/>
    </row>
    <row r="312" spans="2:8" ht="16" x14ac:dyDescent="0.2">
      <c r="B312" s="9"/>
      <c r="C312" s="10"/>
      <c r="D312" s="10"/>
      <c r="E312" s="14"/>
      <c r="F312" s="4"/>
      <c r="G312" s="4"/>
      <c r="H312" s="4"/>
    </row>
    <row r="313" spans="2:8" ht="16" x14ac:dyDescent="0.2">
      <c r="B313" s="9"/>
      <c r="C313" s="10"/>
      <c r="D313" s="10"/>
      <c r="E313" s="14"/>
      <c r="F313" s="4"/>
      <c r="G313" s="4"/>
      <c r="H313" s="4"/>
    </row>
    <row r="314" spans="2:8" ht="16" x14ac:dyDescent="0.2">
      <c r="B314" s="9"/>
      <c r="C314" s="10"/>
      <c r="D314" s="10"/>
      <c r="E314" s="14"/>
      <c r="F314" s="4"/>
      <c r="G314" s="4"/>
      <c r="H314" s="4"/>
    </row>
    <row r="315" spans="2:8" ht="16" x14ac:dyDescent="0.2">
      <c r="B315" s="9"/>
      <c r="C315" s="10"/>
      <c r="D315" s="10"/>
      <c r="E315" s="14"/>
      <c r="F315" s="4"/>
      <c r="G315" s="4"/>
      <c r="H315" s="4"/>
    </row>
    <row r="316" spans="2:8" ht="16" x14ac:dyDescent="0.2">
      <c r="B316" s="9"/>
      <c r="C316" s="10"/>
      <c r="D316" s="10"/>
      <c r="E316" s="14"/>
      <c r="F316" s="4"/>
      <c r="G316" s="4"/>
      <c r="H316" s="4"/>
    </row>
    <row r="317" spans="2:8" ht="16" x14ac:dyDescent="0.2">
      <c r="B317" s="9"/>
      <c r="C317" s="10"/>
      <c r="D317" s="10"/>
      <c r="E317" s="14"/>
      <c r="F317" s="4"/>
      <c r="G317" s="4"/>
      <c r="H317" s="4"/>
    </row>
    <row r="318" spans="2:8" ht="16" x14ac:dyDescent="0.2">
      <c r="B318" s="9"/>
      <c r="C318" s="10"/>
      <c r="D318" s="10"/>
      <c r="E318" s="14"/>
      <c r="F318" s="4"/>
      <c r="G318" s="4"/>
      <c r="H318" s="4"/>
    </row>
    <row r="319" spans="2:8" ht="16" x14ac:dyDescent="0.2">
      <c r="B319" s="9"/>
      <c r="C319" s="10"/>
      <c r="D319" s="10"/>
      <c r="E319" s="14"/>
      <c r="F319" s="4"/>
      <c r="G319" s="4"/>
      <c r="H319" s="4"/>
    </row>
    <row r="320" spans="2:8" ht="16" x14ac:dyDescent="0.2">
      <c r="B320" s="9"/>
      <c r="C320" s="10"/>
      <c r="D320" s="10"/>
      <c r="E320" s="14"/>
      <c r="F320" s="4"/>
      <c r="G320" s="4"/>
      <c r="H320" s="4"/>
    </row>
    <row r="321" spans="2:18" ht="16" x14ac:dyDescent="0.2">
      <c r="B321" s="9"/>
      <c r="C321" s="10"/>
      <c r="D321" s="10"/>
      <c r="E321" s="14"/>
      <c r="F321" s="4"/>
      <c r="G321" s="4"/>
      <c r="H321" s="4"/>
    </row>
    <row r="322" spans="2:18" ht="16" x14ac:dyDescent="0.2">
      <c r="B322" s="9"/>
      <c r="C322" s="10"/>
      <c r="D322" s="10"/>
      <c r="E322" s="14"/>
      <c r="F322" s="3"/>
      <c r="G322" s="4"/>
      <c r="H322" s="5"/>
    </row>
    <row r="323" spans="2:18" ht="16" x14ac:dyDescent="0.2">
      <c r="B323" s="9"/>
      <c r="C323" s="10"/>
      <c r="D323" s="10"/>
      <c r="E323" s="14"/>
      <c r="F323" s="3"/>
      <c r="G323" s="4"/>
      <c r="H323" s="5"/>
    </row>
    <row r="324" spans="2:18" ht="16" x14ac:dyDescent="0.2">
      <c r="B324" s="9"/>
      <c r="C324" s="10"/>
      <c r="D324" s="10"/>
      <c r="E324" s="14"/>
      <c r="F324" s="3"/>
      <c r="G324" s="4"/>
      <c r="H324" s="5"/>
    </row>
    <row r="325" spans="2:18" ht="16" x14ac:dyDescent="0.2">
      <c r="B325" s="9"/>
      <c r="C325" s="10"/>
      <c r="D325" s="10"/>
      <c r="E325" s="14"/>
      <c r="F325" s="3"/>
      <c r="G325" s="4"/>
      <c r="H325" s="5"/>
    </row>
    <row r="326" spans="2:18" ht="16" x14ac:dyDescent="0.2">
      <c r="B326" s="9"/>
      <c r="C326" s="10"/>
      <c r="D326" s="10"/>
      <c r="E326" s="14"/>
      <c r="F326" s="3"/>
      <c r="G326" s="4"/>
      <c r="H326" s="5"/>
    </row>
    <row r="327" spans="2:18" ht="16" x14ac:dyDescent="0.2">
      <c r="B327" s="9"/>
      <c r="C327" s="10"/>
      <c r="D327" s="10"/>
      <c r="E327" s="14"/>
      <c r="F327" s="3"/>
      <c r="G327" s="4"/>
      <c r="H327" s="5"/>
    </row>
    <row r="328" spans="2:18" ht="16" x14ac:dyDescent="0.2">
      <c r="B328" s="9"/>
      <c r="C328" s="10"/>
      <c r="D328" s="10"/>
      <c r="E328" s="14"/>
      <c r="F328" s="3"/>
      <c r="G328" s="4"/>
      <c r="H328" s="5"/>
    </row>
    <row r="329" spans="2:18" ht="16" x14ac:dyDescent="0.2">
      <c r="B329" s="9"/>
      <c r="C329" s="10"/>
      <c r="D329" s="10"/>
      <c r="E329" s="14"/>
      <c r="F329" s="3"/>
      <c r="G329" s="4"/>
      <c r="H329" s="5"/>
    </row>
    <row r="330" spans="2:18" ht="16" x14ac:dyDescent="0.2">
      <c r="B330" s="9"/>
      <c r="C330" s="10"/>
      <c r="D330" s="10"/>
      <c r="E330" s="14"/>
      <c r="F330" s="3"/>
      <c r="G330" s="4"/>
      <c r="H330" s="5"/>
    </row>
    <row r="331" spans="2:18" ht="17" thickBot="1" x14ac:dyDescent="0.25">
      <c r="B331" s="11"/>
      <c r="C331" s="12"/>
      <c r="D331" s="12"/>
      <c r="E331" s="15"/>
      <c r="F331" s="7"/>
      <c r="G331" s="8"/>
      <c r="H331" s="13"/>
      <c r="I331" s="8"/>
      <c r="J331" s="8"/>
      <c r="K331" s="8"/>
      <c r="L331" s="8"/>
      <c r="M331" s="8"/>
      <c r="N331" s="8"/>
      <c r="O331" s="8"/>
      <c r="P331" s="8"/>
      <c r="Q331" s="8"/>
      <c r="R331" s="8"/>
    </row>
  </sheetData>
  <customSheetViews>
    <customSheetView guid="{3174DBA0-7C4D-4C95-8420-DC829DEAC464}">
      <pane xSplit="8" ySplit="5" topLeftCell="I6" activePane="bottomRight" state="frozen"/>
      <selection pane="bottomRight" activeCell="W12" sqref="W12"/>
      <pageMargins left="0.7" right="0.7" top="0.78740157499999996" bottom="0.78740157499999996" header="0.3" footer="0.3"/>
      <pageSetup paperSize="9" orientation="portrait" r:id="rId1"/>
    </customSheetView>
  </customSheetViews>
  <mergeCells count="7">
    <mergeCell ref="I2:R2"/>
    <mergeCell ref="S2:AD2"/>
    <mergeCell ref="A1:E1"/>
    <mergeCell ref="A5:E5"/>
    <mergeCell ref="A6:E6"/>
    <mergeCell ref="A2:B2"/>
    <mergeCell ref="F1:H2"/>
  </mergeCells>
  <conditionalFormatting sqref="I3">
    <cfRule type="dataBar" priority="292">
      <dataBar>
        <cfvo type="num" val="0"/>
        <cfvo type="num" val="$I$5"/>
        <color rgb="FFFFB628"/>
      </dataBar>
      <extLst>
        <ext xmlns:x14="http://schemas.microsoft.com/office/spreadsheetml/2009/9/main" uri="{B025F937-C7B1-47D3-B67F-A62EFF666E3E}">
          <x14:id>{ECEEF12D-B3C9-4051-836C-783C2B9194EA}</x14:id>
        </ext>
      </extLst>
    </cfRule>
  </conditionalFormatting>
  <conditionalFormatting sqref="J3:Q3">
    <cfRule type="dataBar" priority="322">
      <dataBar>
        <cfvo type="num" val="0"/>
        <cfvo type="num" val="$J$5"/>
        <color rgb="FFFFB628"/>
      </dataBar>
      <extLst>
        <ext xmlns:x14="http://schemas.microsoft.com/office/spreadsheetml/2009/9/main" uri="{B025F937-C7B1-47D3-B67F-A62EFF666E3E}">
          <x14:id>{3C71966E-06BD-415B-A249-0884A5ABA3E7}</x14:id>
        </ext>
      </extLst>
    </cfRule>
  </conditionalFormatting>
  <conditionalFormatting sqref="R3">
    <cfRule type="dataBar" priority="325">
      <dataBar>
        <cfvo type="num" val="0"/>
        <cfvo type="num" val="$R$5"/>
        <color rgb="FFFFB628"/>
      </dataBar>
      <extLst>
        <ext xmlns:x14="http://schemas.microsoft.com/office/spreadsheetml/2009/9/main" uri="{B025F937-C7B1-47D3-B67F-A62EFF666E3E}">
          <x14:id>{88B67E51-CC4A-43A5-A9AE-5FBE4A364776}</x14:id>
        </ext>
      </extLst>
    </cfRule>
  </conditionalFormatting>
  <conditionalFormatting sqref="F3:F5 F1">
    <cfRule type="dataBar" priority="329">
      <dataBar>
        <cfvo type="num" val="0"/>
        <cfvo type="num" val="$F$5"/>
        <color rgb="FFFF555A"/>
      </dataBar>
      <extLst>
        <ext xmlns:x14="http://schemas.microsoft.com/office/spreadsheetml/2009/9/main" uri="{B025F937-C7B1-47D3-B67F-A62EFF666E3E}">
          <x14:id>{C4428D9D-DCC6-47C0-91E7-93C118A38702}</x14:id>
        </ext>
      </extLst>
    </cfRule>
  </conditionalFormatting>
  <conditionalFormatting sqref="G3:G5 G4:H4">
    <cfRule type="dataBar" priority="331">
      <dataBar>
        <cfvo type="num" val="0"/>
        <cfvo type="num" val="$G$5"/>
        <color theme="4"/>
      </dataBar>
      <extLst>
        <ext xmlns:x14="http://schemas.microsoft.com/office/spreadsheetml/2009/9/main" uri="{B025F937-C7B1-47D3-B67F-A62EFF666E3E}">
          <x14:id>{417A94F5-441A-4F6D-8D58-730AEE1FABDA}</x14:id>
        </ext>
      </extLst>
    </cfRule>
  </conditionalFormatting>
  <conditionalFormatting sqref="H4:H5">
    <cfRule type="dataBar" priority="333">
      <dataBar>
        <cfvo type="num" val="0"/>
        <cfvo type="num" val="$H$5"/>
        <color theme="4"/>
      </dataBar>
      <extLst>
        <ext xmlns:x14="http://schemas.microsoft.com/office/spreadsheetml/2009/9/main" uri="{B025F937-C7B1-47D3-B67F-A62EFF666E3E}">
          <x14:id>{F77DB729-A26F-4740-8FB2-FCB6B43E1136}</x14:id>
        </ext>
      </extLst>
    </cfRule>
  </conditionalFormatting>
  <conditionalFormatting sqref="T4:AD4 AC3:AD3">
    <cfRule type="dataBar" priority="170">
      <dataBar>
        <cfvo type="num" val="0"/>
        <cfvo type="num" val="#REF!"/>
        <color rgb="FFFFB628"/>
      </dataBar>
      <extLst>
        <ext xmlns:x14="http://schemas.microsoft.com/office/spreadsheetml/2009/9/main" uri="{B025F937-C7B1-47D3-B67F-A62EFF666E3E}">
          <x14:id>{E24A9E08-F878-4756-B15D-BB603AEA2432}</x14:id>
        </ext>
      </extLst>
    </cfRule>
  </conditionalFormatting>
  <conditionalFormatting sqref="H3">
    <cfRule type="dataBar" priority="159">
      <dataBar>
        <cfvo type="num" val="0"/>
        <cfvo type="num" val="$G$5"/>
        <color theme="4"/>
      </dataBar>
      <extLst>
        <ext xmlns:x14="http://schemas.microsoft.com/office/spreadsheetml/2009/9/main" uri="{B025F937-C7B1-47D3-B67F-A62EFF666E3E}">
          <x14:id>{3F3294B7-0DF1-4FD1-AAD9-0C07AB7B5A7B}</x14:id>
        </ext>
      </extLst>
    </cfRule>
  </conditionalFormatting>
  <conditionalFormatting sqref="I4">
    <cfRule type="dataBar" priority="5">
      <dataBar>
        <cfvo type="num" val="0"/>
        <cfvo type="num" val="$I$5"/>
        <color rgb="FFFFB628"/>
      </dataBar>
      <extLst>
        <ext xmlns:x14="http://schemas.microsoft.com/office/spreadsheetml/2009/9/main" uri="{B025F937-C7B1-47D3-B67F-A62EFF666E3E}">
          <x14:id>{5F0C2986-A95B-4CDF-BF90-2282D740689B}</x14:id>
        </ext>
      </extLst>
    </cfRule>
  </conditionalFormatting>
  <conditionalFormatting sqref="J4:Q4">
    <cfRule type="dataBar" priority="6">
      <dataBar>
        <cfvo type="num" val="0"/>
        <cfvo type="num" val="$J$5"/>
        <color rgb="FFFFB628"/>
      </dataBar>
      <extLst>
        <ext xmlns:x14="http://schemas.microsoft.com/office/spreadsheetml/2009/9/main" uri="{B025F937-C7B1-47D3-B67F-A62EFF666E3E}">
          <x14:id>{136987FF-F084-4771-98C3-986D044C2264}</x14:id>
        </ext>
      </extLst>
    </cfRule>
  </conditionalFormatting>
  <conditionalFormatting sqref="R4">
    <cfRule type="dataBar" priority="7">
      <dataBar>
        <cfvo type="num" val="0"/>
        <cfvo type="num" val="$R$5"/>
        <color rgb="FFFFB628"/>
      </dataBar>
      <extLst>
        <ext xmlns:x14="http://schemas.microsoft.com/office/spreadsheetml/2009/9/main" uri="{B025F937-C7B1-47D3-B67F-A62EFF666E3E}">
          <x14:id>{9383382B-EC93-4A56-BC4E-D039E1AE8EF2}</x14:id>
        </ext>
      </extLst>
    </cfRule>
  </conditionalFormatting>
  <conditionalFormatting sqref="S4">
    <cfRule type="dataBar" priority="3">
      <dataBar>
        <cfvo type="num" val="0"/>
        <cfvo type="num" val="#REF!"/>
        <color rgb="FFFFB628"/>
      </dataBar>
      <extLst>
        <ext xmlns:x14="http://schemas.microsoft.com/office/spreadsheetml/2009/9/main" uri="{B025F937-C7B1-47D3-B67F-A62EFF666E3E}">
          <x14:id>{9C20A1BE-196B-4F6A-B6D0-3C63DEB34E49}</x14:id>
        </ext>
      </extLst>
    </cfRule>
  </conditionalFormatting>
  <conditionalFormatting sqref="T3:AB3">
    <cfRule type="dataBar" priority="2">
      <dataBar>
        <cfvo type="num" val="0"/>
        <cfvo type="num" val="#REF!"/>
        <color rgb="FFFFB628"/>
      </dataBar>
      <extLst>
        <ext xmlns:x14="http://schemas.microsoft.com/office/spreadsheetml/2009/9/main" uri="{B025F937-C7B1-47D3-B67F-A62EFF666E3E}">
          <x14:id>{AE10E81D-F8C9-4A3A-B449-F3EC0C224FCC}</x14:id>
        </ext>
      </extLst>
    </cfRule>
  </conditionalFormatting>
  <conditionalFormatting sqref="S3">
    <cfRule type="dataBar" priority="1">
      <dataBar>
        <cfvo type="num" val="0"/>
        <cfvo type="num" val="#REF!"/>
        <color rgb="FFFFB628"/>
      </dataBar>
      <extLst>
        <ext xmlns:x14="http://schemas.microsoft.com/office/spreadsheetml/2009/9/main" uri="{B025F937-C7B1-47D3-B67F-A62EFF666E3E}">
          <x14:id>{2F9C3316-07D6-42EC-A71B-52963B5539B0}</x14:id>
        </ext>
      </extLst>
    </cfRule>
  </conditionalFormatting>
  <pageMargins left="0.7" right="0.7" top="0.78740157499999996" bottom="0.78740157499999996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EEF12D-B3C9-4051-836C-783C2B9194EA}">
            <x14:dataBar minLength="0" maxLength="100" gradient="0">
              <x14:cfvo type="num">
                <xm:f>0</xm:f>
              </x14:cfvo>
              <x14:cfvo type="num">
                <xm:f>$I$5</xm:f>
              </x14:cfvo>
              <x14:negativeFill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3C71966E-06BD-415B-A249-0884A5ABA3E7}">
            <x14:dataBar minLength="0" maxLength="100" gradient="0">
              <x14:cfvo type="num">
                <xm:f>0</xm:f>
              </x14:cfvo>
              <x14:cfvo type="num">
                <xm:f>$J$5</xm:f>
              </x14:cfvo>
              <x14:negativeFillColor rgb="FFFF0000"/>
              <x14:axisColor rgb="FF000000"/>
            </x14:dataBar>
          </x14:cfRule>
          <xm:sqref>J3:Q3</xm:sqref>
        </x14:conditionalFormatting>
        <x14:conditionalFormatting xmlns:xm="http://schemas.microsoft.com/office/excel/2006/main">
          <x14:cfRule type="dataBar" id="{88B67E51-CC4A-43A5-A9AE-5FBE4A364776}">
            <x14:dataBar minLength="0" maxLength="100" gradient="0">
              <x14:cfvo type="num">
                <xm:f>0</xm:f>
              </x14:cfvo>
              <x14:cfvo type="num">
                <xm:f>$R$5</xm:f>
              </x14:cfvo>
              <x14:negativeFillColor rgb="FFFF0000"/>
              <x14:axisColor rgb="FF000000"/>
            </x14:dataBar>
          </x14:cfRule>
          <xm:sqref>R3</xm:sqref>
        </x14:conditionalFormatting>
        <x14:conditionalFormatting xmlns:xm="http://schemas.microsoft.com/office/excel/2006/main">
          <x14:cfRule type="dataBar" id="{C4428D9D-DCC6-47C0-91E7-93C118A38702}">
            <x14:dataBar minLength="0" maxLength="100" gradient="0">
              <x14:cfvo type="num">
                <xm:f>0</xm:f>
              </x14:cfvo>
              <x14:cfvo type="num">
                <xm:f>$F$5</xm:f>
              </x14:cfvo>
              <x14:negativeFillColor rgb="FFFF0000"/>
              <x14:axisColor rgb="FF000000"/>
            </x14:dataBar>
          </x14:cfRule>
          <xm:sqref>F3:F5 F1</xm:sqref>
        </x14:conditionalFormatting>
        <x14:conditionalFormatting xmlns:xm="http://schemas.microsoft.com/office/excel/2006/main">
          <x14:cfRule type="dataBar" id="{417A94F5-441A-4F6D-8D58-730AEE1FABDA}">
            <x14:dataBar minLength="0" maxLength="100" gradient="0">
              <x14:cfvo type="num">
                <xm:f>0</xm:f>
              </x14:cfvo>
              <x14:cfvo type="num">
                <xm:f>$G$5</xm:f>
              </x14:cfvo>
              <x14:negativeFillColor rgb="FFFF0000"/>
              <x14:axisColor rgb="FF000000"/>
            </x14:dataBar>
          </x14:cfRule>
          <xm:sqref>G3:G5 G4:H4</xm:sqref>
        </x14:conditionalFormatting>
        <x14:conditionalFormatting xmlns:xm="http://schemas.microsoft.com/office/excel/2006/main">
          <x14:cfRule type="dataBar" id="{F77DB729-A26F-4740-8FB2-FCB6B43E1136}">
            <x14:dataBar minLength="0" maxLength="100" gradient="0">
              <x14:cfvo type="num">
                <xm:f>0</xm:f>
              </x14:cfvo>
              <x14:cfvo type="num">
                <xm:f>$H$5</xm:f>
              </x14:cfvo>
              <x14:negativeFillColor rgb="FFFF0000"/>
              <x14:axisColor rgb="FF000000"/>
            </x14:dataBar>
          </x14:cfRule>
          <xm:sqref>H4:H5</xm:sqref>
        </x14:conditionalFormatting>
        <x14:conditionalFormatting xmlns:xm="http://schemas.microsoft.com/office/excel/2006/main">
          <x14:cfRule type="dataBar" id="{E24A9E08-F878-4756-B15D-BB603AEA2432}">
            <x14:dataBar minLength="0" maxLength="100" gradient="0">
              <x14:cfvo type="num">
                <xm:f>0</xm:f>
              </x14:cfvo>
              <x14:cfvo type="num">
                <xm:f>#REF!</xm:f>
              </x14:cfvo>
              <x14:negativeFillColor rgb="FFFF0000"/>
              <x14:axisColor rgb="FF000000"/>
            </x14:dataBar>
          </x14:cfRule>
          <xm:sqref>T4:AD4 AC3:AD3</xm:sqref>
        </x14:conditionalFormatting>
        <x14:conditionalFormatting xmlns:xm="http://schemas.microsoft.com/office/excel/2006/main">
          <x14:cfRule type="dataBar" id="{3F3294B7-0DF1-4FD1-AAD9-0C07AB7B5A7B}">
            <x14:dataBar minLength="0" maxLength="100" gradient="0">
              <x14:cfvo type="num">
                <xm:f>0</xm:f>
              </x14:cfvo>
              <x14:cfvo type="num">
                <xm:f>$G$5</xm:f>
              </x14:cfvo>
              <x14:negativeFillColor rgb="FFFF0000"/>
              <x14:axisColor rgb="FF000000"/>
            </x14:dataBar>
          </x14:cfRule>
          <xm:sqref>H3</xm:sqref>
        </x14:conditionalFormatting>
        <x14:conditionalFormatting xmlns:xm="http://schemas.microsoft.com/office/excel/2006/main">
          <x14:cfRule type="dataBar" id="{5F0C2986-A95B-4CDF-BF90-2282D740689B}">
            <x14:dataBar minLength="0" maxLength="100" gradient="0">
              <x14:cfvo type="num">
                <xm:f>0</xm:f>
              </x14:cfvo>
              <x14:cfvo type="num">
                <xm:f>$I$5</xm:f>
              </x14:cfvo>
              <x14:negativeFill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136987FF-F084-4771-98C3-986D044C2264}">
            <x14:dataBar minLength="0" maxLength="100" gradient="0">
              <x14:cfvo type="num">
                <xm:f>0</xm:f>
              </x14:cfvo>
              <x14:cfvo type="num">
                <xm:f>$J$5</xm:f>
              </x14:cfvo>
              <x14:negativeFillColor rgb="FFFF0000"/>
              <x14:axisColor rgb="FF000000"/>
            </x14:dataBar>
          </x14:cfRule>
          <xm:sqref>J4:Q4</xm:sqref>
        </x14:conditionalFormatting>
        <x14:conditionalFormatting xmlns:xm="http://schemas.microsoft.com/office/excel/2006/main">
          <x14:cfRule type="dataBar" id="{9383382B-EC93-4A56-BC4E-D039E1AE8EF2}">
            <x14:dataBar minLength="0" maxLength="100" gradient="0">
              <x14:cfvo type="num">
                <xm:f>0</xm:f>
              </x14:cfvo>
              <x14:cfvo type="num">
                <xm:f>$R$5</xm:f>
              </x14:cfvo>
              <x14:negativeFill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9C20A1BE-196B-4F6A-B6D0-3C63DEB34E49}">
            <x14:dataBar minLength="0" maxLength="100" gradient="0">
              <x14:cfvo type="num">
                <xm:f>0</xm:f>
              </x14:cfvo>
              <x14:cfvo type="num">
                <xm:f>#REF!</xm:f>
              </x14:cfvo>
              <x14:negativeFill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AE10E81D-F8C9-4A3A-B449-F3EC0C224FCC}">
            <x14:dataBar minLength="0" maxLength="100" gradient="0">
              <x14:cfvo type="num">
                <xm:f>0</xm:f>
              </x14:cfvo>
              <x14:cfvo type="num">
                <xm:f>#REF!</xm:f>
              </x14:cfvo>
              <x14:negativeFillColor rgb="FFFF0000"/>
              <x14:axisColor rgb="FF000000"/>
            </x14:dataBar>
          </x14:cfRule>
          <xm:sqref>T3:AB3</xm:sqref>
        </x14:conditionalFormatting>
        <x14:conditionalFormatting xmlns:xm="http://schemas.microsoft.com/office/excel/2006/main">
          <x14:cfRule type="dataBar" id="{2F9C3316-07D6-42EC-A71B-52963B5539B0}">
            <x14:dataBar minLength="0" maxLength="100" gradient="0">
              <x14:cfvo type="num">
                <xm:f>0</xm:f>
              </x14:cfvo>
              <x14:cfvo type="num">
                <xm:f>#REF!</xm:f>
              </x14:cfvo>
              <x14:negativeFillColor rgb="FFFF0000"/>
              <x14:axisColor rgb="FF000000"/>
            </x14:dataBar>
          </x14:cfRule>
          <xm:sqref>S3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A8077-8554-0241-87A3-D7D8B6CAE466}">
  <sheetPr codeName="Tabelle2"/>
  <dimension ref="A1:AD331"/>
  <sheetViews>
    <sheetView tabSelected="1" zoomScale="124" zoomScaleNormal="90" workbookViewId="0">
      <selection activeCell="G14" sqref="G14"/>
    </sheetView>
  </sheetViews>
  <sheetFormatPr baseColWidth="10" defaultColWidth="9.1640625" defaultRowHeight="15" x14ac:dyDescent="0.2"/>
  <cols>
    <col min="1" max="1" width="5.5" style="4" customWidth="1"/>
    <col min="2" max="2" width="17.6640625" style="4" customWidth="1"/>
    <col min="3" max="3" width="31.6640625" customWidth="1"/>
    <col min="4" max="4" width="32.1640625" customWidth="1"/>
    <col min="5" max="5" width="8.1640625" style="16" customWidth="1"/>
    <col min="6" max="6" width="5" style="6" customWidth="1"/>
    <col min="7" max="7" width="4.1640625" style="1" customWidth="1"/>
    <col min="8" max="8" width="4.1640625" style="2" customWidth="1"/>
    <col min="9" max="16" width="4" style="4" customWidth="1"/>
    <col min="17" max="17" width="5" style="4" customWidth="1"/>
    <col min="18" max="18" width="4" style="4" customWidth="1"/>
    <col min="19" max="19" width="3.83203125" style="4" customWidth="1"/>
    <col min="20" max="30" width="4" style="4" customWidth="1"/>
    <col min="31" max="74" width="9.1640625" customWidth="1"/>
  </cols>
  <sheetData>
    <row r="1" spans="1:30" ht="26.25" customHeight="1" thickBot="1" x14ac:dyDescent="0.3">
      <c r="A1" s="78" t="s">
        <v>24</v>
      </c>
      <c r="B1" s="79"/>
      <c r="C1" s="79"/>
      <c r="D1" s="79"/>
      <c r="E1" s="79"/>
      <c r="F1" s="86" t="s">
        <v>7</v>
      </c>
      <c r="G1" s="87"/>
      <c r="H1" s="87"/>
      <c r="I1" s="58"/>
      <c r="J1" s="59"/>
      <c r="K1" s="59"/>
      <c r="L1" s="59"/>
      <c r="M1" s="59"/>
      <c r="N1" s="59"/>
      <c r="O1" s="59"/>
      <c r="P1" s="59"/>
      <c r="Q1" s="59"/>
      <c r="R1" s="59"/>
      <c r="S1" s="61"/>
      <c r="T1" s="60"/>
      <c r="U1" s="60"/>
      <c r="V1" s="60"/>
      <c r="W1" s="60"/>
      <c r="X1" s="60"/>
      <c r="Y1" s="60"/>
      <c r="Z1" s="60"/>
      <c r="AA1" s="60"/>
      <c r="AB1" s="60"/>
      <c r="AC1" s="60"/>
      <c r="AD1" s="70"/>
    </row>
    <row r="2" spans="1:30" ht="30" customHeight="1" thickBot="1" x14ac:dyDescent="0.3">
      <c r="A2" s="84" t="s">
        <v>11</v>
      </c>
      <c r="B2" s="85"/>
      <c r="C2" s="17">
        <v>45520</v>
      </c>
      <c r="D2" s="18" t="s">
        <v>6</v>
      </c>
      <c r="E2" s="18">
        <v>5</v>
      </c>
      <c r="F2" s="76"/>
      <c r="G2" s="77"/>
      <c r="H2" s="77"/>
      <c r="I2" s="74" t="s">
        <v>105</v>
      </c>
      <c r="J2" s="75"/>
      <c r="K2" s="75"/>
      <c r="L2" s="75"/>
      <c r="M2" s="75"/>
      <c r="N2" s="75"/>
      <c r="O2" s="75"/>
      <c r="P2" s="75"/>
      <c r="Q2" s="75"/>
      <c r="R2" s="75"/>
      <c r="S2" s="76" t="s">
        <v>106</v>
      </c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</row>
    <row r="3" spans="1:30" ht="148.5" customHeight="1" thickBot="1" x14ac:dyDescent="0.25">
      <c r="A3" s="24"/>
      <c r="B3" s="32"/>
      <c r="C3" s="33"/>
      <c r="D3" s="32"/>
      <c r="E3" s="34" t="s">
        <v>0</v>
      </c>
      <c r="F3" s="30" t="s">
        <v>111</v>
      </c>
      <c r="G3" s="29" t="s">
        <v>112</v>
      </c>
      <c r="H3" s="29" t="s">
        <v>113</v>
      </c>
      <c r="I3" s="62" t="s">
        <v>114</v>
      </c>
      <c r="J3" s="63" t="s">
        <v>115</v>
      </c>
      <c r="K3" s="63" t="s">
        <v>116</v>
      </c>
      <c r="L3" s="63" t="s">
        <v>115</v>
      </c>
      <c r="M3" s="63" t="s">
        <v>117</v>
      </c>
      <c r="N3" s="63" t="s">
        <v>118</v>
      </c>
      <c r="O3" s="63" t="s">
        <v>119</v>
      </c>
      <c r="P3" s="63" t="s">
        <v>120</v>
      </c>
      <c r="Q3" s="63" t="s">
        <v>121</v>
      </c>
      <c r="R3" s="63" t="s">
        <v>122</v>
      </c>
      <c r="S3" s="64" t="s">
        <v>123</v>
      </c>
      <c r="T3" s="65" t="s">
        <v>124</v>
      </c>
      <c r="U3" s="66" t="s">
        <v>125</v>
      </c>
      <c r="V3" s="66" t="s">
        <v>128</v>
      </c>
      <c r="W3" s="66" t="s">
        <v>126</v>
      </c>
      <c r="X3" s="66" t="s">
        <v>127</v>
      </c>
      <c r="Y3" s="66" t="s">
        <v>129</v>
      </c>
      <c r="Z3" s="66" t="s">
        <v>130</v>
      </c>
      <c r="AA3" s="66" t="s">
        <v>131</v>
      </c>
      <c r="AB3" s="66" t="s">
        <v>132</v>
      </c>
      <c r="AC3" s="66" t="s">
        <v>133</v>
      </c>
      <c r="AD3" s="66" t="s">
        <v>134</v>
      </c>
    </row>
    <row r="4" spans="1:30" s="73" customFormat="1" ht="21" customHeight="1" thickBot="1" x14ac:dyDescent="0.25">
      <c r="A4" s="31" t="s">
        <v>12</v>
      </c>
      <c r="B4" s="35" t="s">
        <v>2</v>
      </c>
      <c r="C4" s="36" t="s">
        <v>4</v>
      </c>
      <c r="D4" s="39" t="s">
        <v>5</v>
      </c>
      <c r="E4" s="40"/>
      <c r="F4" s="37" t="s">
        <v>3</v>
      </c>
      <c r="G4" s="38" t="s">
        <v>1</v>
      </c>
      <c r="H4" s="38" t="s">
        <v>1</v>
      </c>
      <c r="I4" s="47" t="s">
        <v>15</v>
      </c>
      <c r="J4" s="48" t="s">
        <v>17</v>
      </c>
      <c r="K4" s="49" t="s">
        <v>18</v>
      </c>
      <c r="L4" s="49" t="s">
        <v>19</v>
      </c>
      <c r="M4" s="49" t="s">
        <v>20</v>
      </c>
      <c r="N4" s="49" t="s">
        <v>21</v>
      </c>
      <c r="O4" s="49" t="s">
        <v>16</v>
      </c>
      <c r="P4" s="49" t="s">
        <v>22</v>
      </c>
      <c r="Q4" s="49" t="s">
        <v>107</v>
      </c>
      <c r="R4" s="49" t="s">
        <v>108</v>
      </c>
      <c r="S4" s="51" t="s">
        <v>15</v>
      </c>
      <c r="T4" s="52" t="s">
        <v>17</v>
      </c>
      <c r="U4" s="52" t="s">
        <v>18</v>
      </c>
      <c r="V4" s="52" t="s">
        <v>19</v>
      </c>
      <c r="W4" s="52" t="s">
        <v>20</v>
      </c>
      <c r="X4" s="52" t="s">
        <v>21</v>
      </c>
      <c r="Y4" s="52" t="s">
        <v>16</v>
      </c>
      <c r="Z4" s="52" t="s">
        <v>22</v>
      </c>
      <c r="AA4" s="52" t="s">
        <v>107</v>
      </c>
      <c r="AB4" s="52" t="s">
        <v>108</v>
      </c>
      <c r="AC4" s="52" t="s">
        <v>109</v>
      </c>
      <c r="AD4" s="71" t="s">
        <v>110</v>
      </c>
    </row>
    <row r="5" spans="1:30" ht="15.75" customHeight="1" x14ac:dyDescent="0.2">
      <c r="A5" s="80" t="s">
        <v>13</v>
      </c>
      <c r="B5" s="81"/>
      <c r="C5" s="81"/>
      <c r="D5" s="81"/>
      <c r="E5" s="81"/>
      <c r="F5" s="20">
        <f t="shared" ref="F5:F11" si="0">SUM(G5:H5)</f>
        <v>22</v>
      </c>
      <c r="G5" s="21">
        <f>SUM(I5:R5)</f>
        <v>10</v>
      </c>
      <c r="H5" s="21">
        <f>SUM(S5:AD5)</f>
        <v>12</v>
      </c>
      <c r="I5" s="41">
        <v>1</v>
      </c>
      <c r="J5" s="27">
        <v>1</v>
      </c>
      <c r="K5" s="27">
        <v>1</v>
      </c>
      <c r="L5" s="27">
        <v>1</v>
      </c>
      <c r="M5" s="27">
        <v>1</v>
      </c>
      <c r="N5" s="27">
        <v>1</v>
      </c>
      <c r="O5" s="27">
        <v>1</v>
      </c>
      <c r="P5" s="27">
        <v>1</v>
      </c>
      <c r="Q5" s="27">
        <v>1</v>
      </c>
      <c r="R5" s="19">
        <v>1</v>
      </c>
      <c r="S5" s="53">
        <v>1</v>
      </c>
      <c r="T5" s="50">
        <v>1</v>
      </c>
      <c r="U5" s="50">
        <v>1</v>
      </c>
      <c r="V5" s="50">
        <v>1</v>
      </c>
      <c r="W5" s="50">
        <v>1</v>
      </c>
      <c r="X5" s="50">
        <v>1</v>
      </c>
      <c r="Y5" s="50">
        <v>1</v>
      </c>
      <c r="Z5" s="50">
        <v>1</v>
      </c>
      <c r="AA5" s="50">
        <v>1</v>
      </c>
      <c r="AB5" s="50">
        <v>1</v>
      </c>
      <c r="AC5" s="50">
        <v>1</v>
      </c>
      <c r="AD5" s="72">
        <v>1</v>
      </c>
    </row>
    <row r="6" spans="1:30" ht="17" thickBot="1" x14ac:dyDescent="0.25">
      <c r="A6" s="82" t="s">
        <v>14</v>
      </c>
      <c r="B6" s="83"/>
      <c r="C6" s="83"/>
      <c r="D6" s="83"/>
      <c r="E6" s="83"/>
      <c r="F6" s="25">
        <f t="shared" si="0"/>
        <v>0</v>
      </c>
      <c r="G6" s="26">
        <f>SUM(I6:T6)</f>
        <v>0</v>
      </c>
      <c r="H6" s="26">
        <f>SUM(AC6:AD6)</f>
        <v>0</v>
      </c>
      <c r="I6" s="54">
        <f>AVERAGE(I7:I292)</f>
        <v>0</v>
      </c>
      <c r="J6" s="55">
        <f t="shared" ref="J6:AD6" si="1">AVERAGE(J7:J292)</f>
        <v>0</v>
      </c>
      <c r="K6" s="55">
        <f t="shared" si="1"/>
        <v>0</v>
      </c>
      <c r="L6" s="55">
        <f t="shared" si="1"/>
        <v>0</v>
      </c>
      <c r="M6" s="55">
        <f t="shared" si="1"/>
        <v>0</v>
      </c>
      <c r="N6" s="55">
        <f t="shared" si="1"/>
        <v>0</v>
      </c>
      <c r="O6" s="55">
        <f t="shared" si="1"/>
        <v>0</v>
      </c>
      <c r="P6" s="55">
        <f t="shared" si="1"/>
        <v>0</v>
      </c>
      <c r="Q6" s="56">
        <f t="shared" si="1"/>
        <v>0</v>
      </c>
      <c r="R6" s="56">
        <f t="shared" si="1"/>
        <v>0</v>
      </c>
      <c r="S6" s="53">
        <f t="shared" si="1"/>
        <v>0</v>
      </c>
      <c r="T6" s="50">
        <f t="shared" si="1"/>
        <v>0</v>
      </c>
      <c r="U6" s="50">
        <f t="shared" si="1"/>
        <v>0</v>
      </c>
      <c r="V6" s="50">
        <f t="shared" si="1"/>
        <v>0</v>
      </c>
      <c r="W6" s="50">
        <f t="shared" si="1"/>
        <v>0</v>
      </c>
      <c r="X6" s="50">
        <f t="shared" si="1"/>
        <v>0</v>
      </c>
      <c r="Y6" s="50">
        <f t="shared" si="1"/>
        <v>0</v>
      </c>
      <c r="Z6" s="50">
        <f t="shared" si="1"/>
        <v>0</v>
      </c>
      <c r="AA6" s="50">
        <f t="shared" si="1"/>
        <v>0</v>
      </c>
      <c r="AB6" s="50">
        <f t="shared" si="1"/>
        <v>0</v>
      </c>
      <c r="AC6" s="50">
        <f t="shared" si="1"/>
        <v>0</v>
      </c>
      <c r="AD6" s="72">
        <f t="shared" si="1"/>
        <v>0</v>
      </c>
    </row>
    <row r="7" spans="1:30" ht="17" thickBot="1" x14ac:dyDescent="0.25">
      <c r="A7" s="42">
        <v>0</v>
      </c>
      <c r="B7" s="43" t="s">
        <v>78</v>
      </c>
      <c r="C7" s="43" t="s">
        <v>53</v>
      </c>
      <c r="D7" s="44" t="s">
        <v>79</v>
      </c>
      <c r="E7" s="28"/>
      <c r="F7" s="22">
        <f t="shared" si="0"/>
        <v>0</v>
      </c>
      <c r="G7" s="23">
        <f t="shared" ref="G7:G11" si="2">SUM(I7:R7)</f>
        <v>0</v>
      </c>
      <c r="H7" s="23">
        <f t="shared" ref="H7:H11" si="3">SUM(S7:AD7)</f>
        <v>0</v>
      </c>
      <c r="I7" s="57">
        <v>0</v>
      </c>
      <c r="J7" s="57">
        <v>0</v>
      </c>
      <c r="K7" s="57">
        <v>0</v>
      </c>
      <c r="L7" s="57">
        <v>0</v>
      </c>
      <c r="M7" s="57">
        <v>0</v>
      </c>
      <c r="N7" s="57">
        <v>0</v>
      </c>
      <c r="O7" s="57">
        <v>0</v>
      </c>
      <c r="P7" s="57">
        <v>0</v>
      </c>
      <c r="Q7" s="57">
        <v>0</v>
      </c>
      <c r="R7" s="57">
        <v>0</v>
      </c>
      <c r="S7" s="57">
        <v>0</v>
      </c>
      <c r="T7" s="57">
        <v>0</v>
      </c>
      <c r="U7" s="57">
        <v>0</v>
      </c>
      <c r="V7" s="57">
        <v>0</v>
      </c>
      <c r="W7" s="57">
        <v>0</v>
      </c>
      <c r="X7" s="57">
        <v>0</v>
      </c>
      <c r="Y7" s="57">
        <v>0</v>
      </c>
      <c r="Z7" s="57">
        <v>0</v>
      </c>
      <c r="AA7" s="57">
        <v>0</v>
      </c>
      <c r="AB7" s="57">
        <v>0</v>
      </c>
      <c r="AC7" s="57">
        <v>0</v>
      </c>
      <c r="AD7" s="57">
        <v>0</v>
      </c>
    </row>
    <row r="8" spans="1:30" ht="17" thickBot="1" x14ac:dyDescent="0.25">
      <c r="A8" s="24">
        <v>1</v>
      </c>
      <c r="B8" s="9" t="s">
        <v>80</v>
      </c>
      <c r="C8" s="9" t="s">
        <v>50</v>
      </c>
      <c r="D8" s="45" t="s">
        <v>81</v>
      </c>
      <c r="E8" s="28"/>
      <c r="F8" s="22">
        <f t="shared" si="0"/>
        <v>0</v>
      </c>
      <c r="G8" s="23">
        <f t="shared" si="2"/>
        <v>0</v>
      </c>
      <c r="H8" s="23">
        <f t="shared" si="3"/>
        <v>0</v>
      </c>
      <c r="I8" s="57">
        <v>0</v>
      </c>
      <c r="J8" s="57">
        <v>0</v>
      </c>
      <c r="K8" s="57">
        <v>0</v>
      </c>
      <c r="L8" s="57">
        <v>0</v>
      </c>
      <c r="M8" s="57">
        <v>0</v>
      </c>
      <c r="N8" s="57">
        <v>0</v>
      </c>
      <c r="O8" s="57">
        <v>0</v>
      </c>
      <c r="P8" s="57">
        <v>0</v>
      </c>
      <c r="Q8" s="57">
        <v>0</v>
      </c>
      <c r="R8" s="57">
        <v>0</v>
      </c>
      <c r="S8" s="57">
        <v>0</v>
      </c>
      <c r="T8" s="57">
        <v>0</v>
      </c>
      <c r="U8" s="57">
        <v>0</v>
      </c>
      <c r="V8" s="57">
        <v>0</v>
      </c>
      <c r="W8" s="57">
        <v>0</v>
      </c>
      <c r="X8" s="57">
        <v>0</v>
      </c>
      <c r="Y8" s="57">
        <v>0</v>
      </c>
      <c r="Z8" s="57">
        <v>0</v>
      </c>
      <c r="AA8" s="57">
        <v>0</v>
      </c>
      <c r="AB8" s="57">
        <v>0</v>
      </c>
      <c r="AC8" s="57">
        <v>0</v>
      </c>
      <c r="AD8" s="57">
        <v>0</v>
      </c>
    </row>
    <row r="9" spans="1:30" ht="17" thickBot="1" x14ac:dyDescent="0.25">
      <c r="A9" s="24">
        <v>2</v>
      </c>
      <c r="B9" s="9" t="s">
        <v>82</v>
      </c>
      <c r="C9" s="9" t="s">
        <v>83</v>
      </c>
      <c r="D9" s="45" t="s">
        <v>84</v>
      </c>
      <c r="E9" s="28"/>
      <c r="F9" s="22">
        <f t="shared" si="0"/>
        <v>0</v>
      </c>
      <c r="G9" s="23">
        <f t="shared" si="2"/>
        <v>0</v>
      </c>
      <c r="H9" s="23">
        <f t="shared" si="3"/>
        <v>0</v>
      </c>
      <c r="I9" s="57">
        <v>0</v>
      </c>
      <c r="J9" s="57">
        <v>0</v>
      </c>
      <c r="K9" s="57">
        <v>0</v>
      </c>
      <c r="L9" s="57">
        <v>0</v>
      </c>
      <c r="M9" s="57">
        <v>0</v>
      </c>
      <c r="N9" s="57">
        <v>0</v>
      </c>
      <c r="O9" s="57">
        <v>0</v>
      </c>
      <c r="P9" s="57">
        <v>0</v>
      </c>
      <c r="Q9" s="57">
        <v>0</v>
      </c>
      <c r="R9" s="57">
        <v>0</v>
      </c>
      <c r="S9" s="57">
        <v>0</v>
      </c>
      <c r="T9" s="57">
        <v>0</v>
      </c>
      <c r="U9" s="57">
        <v>0</v>
      </c>
      <c r="V9" s="57">
        <v>0</v>
      </c>
      <c r="W9" s="57">
        <v>0</v>
      </c>
      <c r="X9" s="57">
        <v>0</v>
      </c>
      <c r="Y9" s="57">
        <v>0</v>
      </c>
      <c r="Z9" s="57">
        <v>0</v>
      </c>
      <c r="AA9" s="57">
        <v>0</v>
      </c>
      <c r="AB9" s="57">
        <v>0</v>
      </c>
      <c r="AC9" s="57">
        <v>0</v>
      </c>
      <c r="AD9" s="57">
        <v>0</v>
      </c>
    </row>
    <row r="10" spans="1:30" ht="17" thickBot="1" x14ac:dyDescent="0.25">
      <c r="A10" s="24">
        <v>3</v>
      </c>
      <c r="B10" s="9" t="s">
        <v>85</v>
      </c>
      <c r="C10" s="9" t="s">
        <v>86</v>
      </c>
      <c r="D10" s="45" t="s">
        <v>87</v>
      </c>
      <c r="E10" s="28"/>
      <c r="F10" s="22">
        <f t="shared" si="0"/>
        <v>0</v>
      </c>
      <c r="G10" s="23">
        <f t="shared" si="2"/>
        <v>0</v>
      </c>
      <c r="H10" s="23">
        <f t="shared" si="3"/>
        <v>0</v>
      </c>
      <c r="I10" s="57">
        <v>0</v>
      </c>
      <c r="J10" s="57">
        <v>0</v>
      </c>
      <c r="K10" s="57">
        <v>0</v>
      </c>
      <c r="L10" s="57">
        <v>0</v>
      </c>
      <c r="M10" s="57">
        <v>0</v>
      </c>
      <c r="N10" s="57">
        <v>0</v>
      </c>
      <c r="O10" s="57">
        <v>0</v>
      </c>
      <c r="P10" s="57">
        <v>0</v>
      </c>
      <c r="Q10" s="57">
        <v>0</v>
      </c>
      <c r="R10" s="57">
        <v>0</v>
      </c>
      <c r="S10" s="57">
        <v>0</v>
      </c>
      <c r="T10" s="57">
        <v>0</v>
      </c>
      <c r="U10" s="57">
        <v>0</v>
      </c>
      <c r="V10" s="57">
        <v>0</v>
      </c>
      <c r="W10" s="57">
        <v>0</v>
      </c>
      <c r="X10" s="57">
        <v>0</v>
      </c>
      <c r="Y10" s="57">
        <v>0</v>
      </c>
      <c r="Z10" s="57">
        <v>0</v>
      </c>
      <c r="AA10" s="57">
        <v>0</v>
      </c>
      <c r="AB10" s="57">
        <v>0</v>
      </c>
      <c r="AC10" s="57">
        <v>0</v>
      </c>
      <c r="AD10" s="57">
        <v>0</v>
      </c>
    </row>
    <row r="11" spans="1:30" ht="16" x14ac:dyDescent="0.2">
      <c r="A11" s="24">
        <v>4</v>
      </c>
      <c r="B11" s="9" t="s">
        <v>88</v>
      </c>
      <c r="C11" s="9" t="s">
        <v>60</v>
      </c>
      <c r="D11" s="45" t="s">
        <v>89</v>
      </c>
      <c r="E11" s="28"/>
      <c r="F11" s="22">
        <f t="shared" si="0"/>
        <v>0</v>
      </c>
      <c r="G11" s="23">
        <f t="shared" si="2"/>
        <v>0</v>
      </c>
      <c r="H11" s="23">
        <f t="shared" si="3"/>
        <v>0</v>
      </c>
      <c r="I11" s="57">
        <v>0</v>
      </c>
      <c r="J11" s="57">
        <v>0</v>
      </c>
      <c r="K11" s="57">
        <v>0</v>
      </c>
      <c r="L11" s="57">
        <v>0</v>
      </c>
      <c r="M11" s="57">
        <v>0</v>
      </c>
      <c r="N11" s="57">
        <v>0</v>
      </c>
      <c r="O11" s="57">
        <v>0</v>
      </c>
      <c r="P11" s="57">
        <v>0</v>
      </c>
      <c r="Q11" s="57">
        <v>0</v>
      </c>
      <c r="R11" s="57">
        <v>0</v>
      </c>
      <c r="S11" s="57">
        <v>0</v>
      </c>
      <c r="T11" s="57">
        <v>0</v>
      </c>
      <c r="U11" s="57">
        <v>0</v>
      </c>
      <c r="V11" s="57">
        <v>0</v>
      </c>
      <c r="W11" s="57">
        <v>0</v>
      </c>
      <c r="X11" s="57">
        <v>0</v>
      </c>
      <c r="Y11" s="57">
        <v>0</v>
      </c>
      <c r="Z11" s="57">
        <v>0</v>
      </c>
      <c r="AA11" s="57">
        <v>0</v>
      </c>
      <c r="AB11" s="57">
        <v>0</v>
      </c>
      <c r="AC11" s="57">
        <v>0</v>
      </c>
      <c r="AD11" s="57">
        <v>0</v>
      </c>
    </row>
    <row r="12" spans="1:30" ht="16" x14ac:dyDescent="0.2">
      <c r="B12" s="9"/>
      <c r="C12" s="10"/>
      <c r="D12" s="10"/>
      <c r="E12" s="14"/>
      <c r="F12" s="4"/>
      <c r="G12" s="4"/>
      <c r="H12" s="4"/>
    </row>
    <row r="13" spans="1:30" ht="16" x14ac:dyDescent="0.2">
      <c r="B13" s="9"/>
      <c r="C13" s="10"/>
      <c r="D13" s="10"/>
      <c r="E13" s="14"/>
      <c r="F13" s="4"/>
      <c r="G13" s="4"/>
      <c r="H13" s="4"/>
    </row>
    <row r="14" spans="1:30" ht="16" x14ac:dyDescent="0.2">
      <c r="B14" s="9"/>
      <c r="C14" s="10"/>
      <c r="D14" s="10"/>
      <c r="E14" s="14"/>
      <c r="F14" s="4"/>
      <c r="G14" s="4"/>
      <c r="H14" s="4"/>
    </row>
    <row r="15" spans="1:30" ht="16" x14ac:dyDescent="0.2">
      <c r="B15" s="9"/>
      <c r="C15" s="10"/>
      <c r="D15" s="10"/>
      <c r="E15" s="14"/>
      <c r="F15" s="4"/>
      <c r="G15" s="4"/>
      <c r="H15" s="4"/>
    </row>
    <row r="16" spans="1:30" ht="16" x14ac:dyDescent="0.2">
      <c r="B16" s="9"/>
      <c r="C16" s="10"/>
      <c r="D16" s="10"/>
      <c r="E16" s="14"/>
      <c r="F16" s="4"/>
      <c r="G16" s="4"/>
      <c r="H16" s="4"/>
    </row>
    <row r="17" spans="2:8" ht="16" x14ac:dyDescent="0.2">
      <c r="B17" s="9"/>
      <c r="C17" s="10"/>
      <c r="D17" s="10"/>
      <c r="E17" s="14"/>
      <c r="F17" s="4"/>
      <c r="G17" s="4"/>
      <c r="H17" s="4"/>
    </row>
    <row r="18" spans="2:8" ht="16" x14ac:dyDescent="0.2">
      <c r="B18" s="9"/>
      <c r="C18" s="10"/>
      <c r="D18" s="10"/>
      <c r="E18" s="14"/>
      <c r="F18" s="4"/>
      <c r="G18" s="4"/>
      <c r="H18" s="4"/>
    </row>
    <row r="19" spans="2:8" ht="16" x14ac:dyDescent="0.2">
      <c r="B19" s="9"/>
      <c r="C19" s="10"/>
      <c r="D19" s="10"/>
      <c r="E19" s="14"/>
      <c r="F19" s="4"/>
      <c r="G19" s="4"/>
      <c r="H19" s="4"/>
    </row>
    <row r="20" spans="2:8" ht="16" x14ac:dyDescent="0.2">
      <c r="B20" s="9"/>
      <c r="C20" s="10"/>
      <c r="D20" s="10"/>
      <c r="E20" s="14"/>
      <c r="F20" s="4"/>
      <c r="G20" s="4"/>
      <c r="H20" s="4"/>
    </row>
    <row r="21" spans="2:8" ht="16" x14ac:dyDescent="0.2">
      <c r="B21" s="9"/>
      <c r="C21" s="10"/>
      <c r="D21" s="10"/>
      <c r="E21" s="14"/>
      <c r="F21" s="4"/>
      <c r="G21" s="4"/>
      <c r="H21" s="4"/>
    </row>
    <row r="22" spans="2:8" ht="16" x14ac:dyDescent="0.2">
      <c r="B22" s="9"/>
      <c r="C22" s="10"/>
      <c r="D22" s="10"/>
      <c r="E22" s="14"/>
      <c r="F22" s="4"/>
      <c r="G22" s="4"/>
      <c r="H22" s="4"/>
    </row>
    <row r="23" spans="2:8" ht="16" x14ac:dyDescent="0.2">
      <c r="B23" s="9"/>
      <c r="C23" s="10"/>
      <c r="D23" s="10"/>
      <c r="E23" s="14"/>
      <c r="F23" s="4"/>
      <c r="G23" s="4"/>
      <c r="H23" s="4"/>
    </row>
    <row r="24" spans="2:8" ht="16" x14ac:dyDescent="0.2">
      <c r="B24" s="9"/>
      <c r="C24" s="10"/>
      <c r="D24" s="10"/>
      <c r="E24" s="14"/>
      <c r="F24" s="4"/>
      <c r="G24" s="4"/>
      <c r="H24" s="4"/>
    </row>
    <row r="25" spans="2:8" ht="16" x14ac:dyDescent="0.2">
      <c r="B25" s="9"/>
      <c r="C25" s="10"/>
      <c r="D25" s="10"/>
      <c r="E25" s="14"/>
      <c r="F25" s="4"/>
      <c r="G25" s="4"/>
      <c r="H25" s="4"/>
    </row>
    <row r="26" spans="2:8" ht="16" x14ac:dyDescent="0.2">
      <c r="B26" s="9"/>
      <c r="C26" s="10"/>
      <c r="D26" s="10"/>
      <c r="E26" s="14"/>
      <c r="F26" s="4"/>
      <c r="G26" s="4"/>
      <c r="H26" s="4"/>
    </row>
    <row r="27" spans="2:8" ht="16" x14ac:dyDescent="0.2">
      <c r="B27" s="9"/>
      <c r="C27" s="10"/>
      <c r="D27" s="10"/>
      <c r="E27" s="14"/>
      <c r="F27" s="4"/>
      <c r="G27" s="4"/>
      <c r="H27" s="4"/>
    </row>
    <row r="28" spans="2:8" ht="16" x14ac:dyDescent="0.2">
      <c r="B28" s="9"/>
      <c r="C28" s="10"/>
      <c r="D28" s="10"/>
      <c r="E28" s="14"/>
      <c r="F28" s="4"/>
      <c r="G28" s="4"/>
      <c r="H28" s="4"/>
    </row>
    <row r="29" spans="2:8" ht="16" x14ac:dyDescent="0.2">
      <c r="B29" s="9"/>
      <c r="C29" s="10"/>
      <c r="D29" s="10"/>
      <c r="E29" s="14"/>
      <c r="F29" s="4"/>
      <c r="G29" s="4"/>
      <c r="H29" s="4"/>
    </row>
    <row r="30" spans="2:8" ht="16" x14ac:dyDescent="0.2">
      <c r="B30" s="9"/>
      <c r="C30" s="10"/>
      <c r="D30" s="10"/>
      <c r="E30" s="14"/>
      <c r="F30" s="4"/>
      <c r="G30" s="4"/>
      <c r="H30" s="4"/>
    </row>
    <row r="31" spans="2:8" ht="16" x14ac:dyDescent="0.2">
      <c r="B31" s="9"/>
      <c r="C31" s="10"/>
      <c r="D31" s="10"/>
      <c r="E31" s="14"/>
      <c r="F31" s="4"/>
      <c r="G31" s="4"/>
      <c r="H31" s="4"/>
    </row>
    <row r="32" spans="2:8" ht="16" x14ac:dyDescent="0.2">
      <c r="B32" s="9"/>
      <c r="C32" s="10"/>
      <c r="D32" s="10"/>
      <c r="E32" s="14"/>
      <c r="F32" s="4"/>
      <c r="G32" s="4"/>
      <c r="H32" s="4"/>
    </row>
    <row r="33" spans="2:8" ht="16" x14ac:dyDescent="0.2">
      <c r="B33" s="9"/>
      <c r="C33" s="10"/>
      <c r="D33" s="10"/>
      <c r="E33" s="14"/>
      <c r="F33" s="4"/>
      <c r="G33" s="4"/>
      <c r="H33" s="4"/>
    </row>
    <row r="34" spans="2:8" ht="16" x14ac:dyDescent="0.2">
      <c r="B34" s="9"/>
      <c r="C34" s="10"/>
      <c r="D34" s="10"/>
      <c r="E34" s="14"/>
      <c r="F34" s="4"/>
      <c r="G34" s="4"/>
      <c r="H34" s="4"/>
    </row>
    <row r="35" spans="2:8" ht="16" x14ac:dyDescent="0.2">
      <c r="B35" s="9"/>
      <c r="C35" s="10"/>
      <c r="D35" s="10"/>
      <c r="E35" s="14"/>
      <c r="F35" s="4"/>
      <c r="G35" s="4"/>
      <c r="H35" s="4"/>
    </row>
    <row r="36" spans="2:8" ht="16" x14ac:dyDescent="0.2">
      <c r="B36" s="9"/>
      <c r="C36" s="10"/>
      <c r="D36" s="10"/>
      <c r="E36" s="14"/>
      <c r="F36" s="4"/>
      <c r="G36" s="4"/>
      <c r="H36" s="4"/>
    </row>
    <row r="37" spans="2:8" ht="16" x14ac:dyDescent="0.2">
      <c r="B37" s="9"/>
      <c r="C37" s="10"/>
      <c r="D37" s="10"/>
      <c r="E37" s="14"/>
      <c r="F37" s="4"/>
      <c r="G37" s="4"/>
      <c r="H37" s="4"/>
    </row>
    <row r="38" spans="2:8" ht="16" x14ac:dyDescent="0.2">
      <c r="B38" s="9"/>
      <c r="C38" s="10"/>
      <c r="D38" s="10"/>
      <c r="E38" s="14"/>
      <c r="F38" s="4"/>
      <c r="G38" s="4"/>
      <c r="H38" s="4"/>
    </row>
    <row r="39" spans="2:8" ht="16" x14ac:dyDescent="0.2">
      <c r="B39" s="9"/>
      <c r="C39" s="10"/>
      <c r="D39" s="10"/>
      <c r="E39" s="14"/>
      <c r="F39" s="4"/>
      <c r="G39" s="4"/>
      <c r="H39" s="4"/>
    </row>
    <row r="40" spans="2:8" ht="16" x14ac:dyDescent="0.2">
      <c r="B40" s="9"/>
      <c r="C40" s="10"/>
      <c r="D40" s="10"/>
      <c r="E40" s="14"/>
      <c r="F40" s="4"/>
      <c r="G40" s="4"/>
      <c r="H40" s="4"/>
    </row>
    <row r="41" spans="2:8" ht="16" x14ac:dyDescent="0.2">
      <c r="B41" s="9"/>
      <c r="C41" s="10"/>
      <c r="D41" s="10"/>
      <c r="E41" s="14"/>
      <c r="F41" s="4"/>
      <c r="G41" s="4"/>
      <c r="H41" s="4"/>
    </row>
    <row r="42" spans="2:8" ht="16" x14ac:dyDescent="0.2">
      <c r="B42" s="9"/>
      <c r="C42" s="10"/>
      <c r="D42" s="10"/>
      <c r="E42" s="14"/>
      <c r="F42" s="4"/>
      <c r="G42" s="4"/>
      <c r="H42" s="4"/>
    </row>
    <row r="43" spans="2:8" ht="16" x14ac:dyDescent="0.2">
      <c r="B43" s="9"/>
      <c r="C43" s="10"/>
      <c r="D43" s="10"/>
      <c r="E43" s="14"/>
      <c r="F43" s="4"/>
      <c r="G43" s="4"/>
      <c r="H43" s="4"/>
    </row>
    <row r="44" spans="2:8" ht="16" x14ac:dyDescent="0.2">
      <c r="B44" s="9"/>
      <c r="C44" s="10"/>
      <c r="D44" s="10"/>
      <c r="E44" s="14"/>
      <c r="F44" s="4"/>
      <c r="G44" s="4"/>
      <c r="H44" s="4"/>
    </row>
    <row r="45" spans="2:8" ht="16" x14ac:dyDescent="0.2">
      <c r="B45" s="9"/>
      <c r="C45" s="10"/>
      <c r="D45" s="10"/>
      <c r="E45" s="14"/>
      <c r="F45" s="4"/>
      <c r="G45" s="4"/>
      <c r="H45" s="4"/>
    </row>
    <row r="46" spans="2:8" ht="16" x14ac:dyDescent="0.2">
      <c r="B46" s="9"/>
      <c r="C46" s="10"/>
      <c r="D46" s="10"/>
      <c r="E46" s="14"/>
      <c r="F46" s="4"/>
      <c r="G46" s="4"/>
      <c r="H46" s="4"/>
    </row>
    <row r="47" spans="2:8" ht="16" x14ac:dyDescent="0.2">
      <c r="B47" s="9"/>
      <c r="C47" s="10"/>
      <c r="D47" s="10"/>
      <c r="E47" s="14"/>
      <c r="F47" s="4"/>
      <c r="G47" s="4"/>
      <c r="H47" s="4"/>
    </row>
    <row r="48" spans="2:8" ht="16" x14ac:dyDescent="0.2">
      <c r="B48" s="9"/>
      <c r="C48" s="10"/>
      <c r="D48" s="10"/>
      <c r="E48" s="14"/>
      <c r="F48" s="4"/>
      <c r="G48" s="4"/>
      <c r="H48" s="4"/>
    </row>
    <row r="49" spans="2:8" ht="16" x14ac:dyDescent="0.2">
      <c r="B49" s="9"/>
      <c r="C49" s="10"/>
      <c r="D49" s="10"/>
      <c r="E49" s="14"/>
      <c r="F49" s="4"/>
      <c r="G49" s="4"/>
      <c r="H49" s="4"/>
    </row>
    <row r="50" spans="2:8" ht="16" x14ac:dyDescent="0.2">
      <c r="B50" s="9"/>
      <c r="C50" s="10"/>
      <c r="D50" s="10"/>
      <c r="E50" s="14"/>
      <c r="F50" s="4"/>
      <c r="G50" s="4"/>
      <c r="H50" s="4"/>
    </row>
    <row r="51" spans="2:8" ht="16" x14ac:dyDescent="0.2">
      <c r="B51" s="9"/>
      <c r="C51" s="10"/>
      <c r="D51" s="10"/>
      <c r="E51" s="14"/>
      <c r="F51" s="4"/>
      <c r="G51" s="4"/>
      <c r="H51" s="4"/>
    </row>
    <row r="52" spans="2:8" ht="16" x14ac:dyDescent="0.2">
      <c r="B52" s="9"/>
      <c r="C52" s="10"/>
      <c r="D52" s="10"/>
      <c r="E52" s="14"/>
      <c r="F52" s="4"/>
      <c r="G52" s="4"/>
      <c r="H52" s="4"/>
    </row>
    <row r="53" spans="2:8" ht="16" x14ac:dyDescent="0.2">
      <c r="B53" s="9"/>
      <c r="C53" s="10"/>
      <c r="D53" s="10"/>
      <c r="E53" s="14"/>
      <c r="F53" s="4"/>
      <c r="G53" s="4"/>
      <c r="H53" s="4"/>
    </row>
    <row r="54" spans="2:8" ht="16" x14ac:dyDescent="0.2">
      <c r="B54" s="9"/>
      <c r="C54" s="10"/>
      <c r="D54" s="10"/>
      <c r="E54" s="14"/>
      <c r="F54" s="4"/>
      <c r="G54" s="4"/>
      <c r="H54" s="4"/>
    </row>
    <row r="55" spans="2:8" ht="16" x14ac:dyDescent="0.2">
      <c r="B55" s="9"/>
      <c r="C55" s="10"/>
      <c r="D55" s="10"/>
      <c r="E55" s="14"/>
      <c r="F55" s="4"/>
      <c r="G55" s="4"/>
      <c r="H55" s="4"/>
    </row>
    <row r="56" spans="2:8" ht="16" x14ac:dyDescent="0.2">
      <c r="B56" s="9"/>
      <c r="C56" s="10"/>
      <c r="D56" s="10"/>
      <c r="E56" s="14"/>
      <c r="F56" s="4"/>
      <c r="G56" s="4"/>
      <c r="H56" s="4"/>
    </row>
    <row r="57" spans="2:8" ht="16" x14ac:dyDescent="0.2">
      <c r="B57" s="9"/>
      <c r="C57" s="10"/>
      <c r="D57" s="10"/>
      <c r="E57" s="14"/>
      <c r="F57" s="4"/>
      <c r="G57" s="4"/>
      <c r="H57" s="4"/>
    </row>
    <row r="58" spans="2:8" ht="16" x14ac:dyDescent="0.2">
      <c r="B58" s="9"/>
      <c r="C58" s="10"/>
      <c r="D58" s="10"/>
      <c r="E58" s="14"/>
      <c r="F58" s="4"/>
      <c r="G58" s="4"/>
      <c r="H58" s="4"/>
    </row>
    <row r="59" spans="2:8" ht="16" x14ac:dyDescent="0.2">
      <c r="B59" s="9"/>
      <c r="C59" s="10"/>
      <c r="D59" s="10"/>
      <c r="E59" s="14"/>
      <c r="F59" s="4"/>
      <c r="G59" s="4"/>
      <c r="H59" s="4"/>
    </row>
    <row r="60" spans="2:8" ht="16" x14ac:dyDescent="0.2">
      <c r="B60" s="9"/>
      <c r="C60" s="10"/>
      <c r="D60" s="10"/>
      <c r="E60" s="14"/>
      <c r="F60" s="4"/>
      <c r="G60" s="4"/>
      <c r="H60" s="4"/>
    </row>
    <row r="61" spans="2:8" ht="16" x14ac:dyDescent="0.2">
      <c r="B61" s="9"/>
      <c r="C61" s="10"/>
      <c r="D61" s="10"/>
      <c r="E61" s="14"/>
      <c r="F61" s="4"/>
      <c r="G61" s="4"/>
      <c r="H61" s="4"/>
    </row>
    <row r="62" spans="2:8" ht="16" x14ac:dyDescent="0.2">
      <c r="B62" s="9"/>
      <c r="C62" s="10"/>
      <c r="D62" s="10"/>
      <c r="E62" s="14"/>
      <c r="F62" s="4"/>
      <c r="G62" s="4"/>
      <c r="H62" s="4"/>
    </row>
    <row r="63" spans="2:8" ht="16" x14ac:dyDescent="0.2">
      <c r="B63" s="9"/>
      <c r="C63" s="10"/>
      <c r="D63" s="10"/>
      <c r="E63" s="14"/>
      <c r="F63" s="4"/>
      <c r="G63" s="4"/>
      <c r="H63" s="4"/>
    </row>
    <row r="64" spans="2:8" ht="16" x14ac:dyDescent="0.2">
      <c r="B64" s="9"/>
      <c r="C64" s="10"/>
      <c r="D64" s="10"/>
      <c r="E64" s="14"/>
      <c r="F64" s="4"/>
      <c r="G64" s="4"/>
      <c r="H64" s="4"/>
    </row>
    <row r="65" spans="2:8" ht="16" x14ac:dyDescent="0.2">
      <c r="B65" s="9"/>
      <c r="C65" s="10"/>
      <c r="D65" s="10"/>
      <c r="E65" s="14"/>
      <c r="F65" s="4"/>
      <c r="G65" s="4"/>
      <c r="H65" s="4"/>
    </row>
    <row r="66" spans="2:8" ht="16" x14ac:dyDescent="0.2">
      <c r="B66" s="9"/>
      <c r="C66" s="10"/>
      <c r="D66" s="10"/>
      <c r="E66" s="14"/>
      <c r="F66" s="4"/>
      <c r="G66" s="4"/>
      <c r="H66" s="4"/>
    </row>
    <row r="67" spans="2:8" ht="16" x14ac:dyDescent="0.2">
      <c r="B67" s="9"/>
      <c r="C67" s="10"/>
      <c r="D67" s="10"/>
      <c r="E67" s="14"/>
      <c r="F67" s="4"/>
      <c r="G67" s="4"/>
      <c r="H67" s="4"/>
    </row>
    <row r="68" spans="2:8" ht="16" x14ac:dyDescent="0.2">
      <c r="B68" s="9"/>
      <c r="C68" s="10"/>
      <c r="D68" s="10"/>
      <c r="E68" s="14"/>
      <c r="F68" s="4"/>
      <c r="G68" s="4"/>
      <c r="H68" s="4"/>
    </row>
    <row r="69" spans="2:8" ht="16" x14ac:dyDescent="0.2">
      <c r="B69" s="9"/>
      <c r="C69" s="10"/>
      <c r="D69" s="10"/>
      <c r="E69" s="14"/>
      <c r="F69" s="4"/>
      <c r="G69" s="4"/>
      <c r="H69" s="4"/>
    </row>
    <row r="70" spans="2:8" ht="16" x14ac:dyDescent="0.2">
      <c r="B70" s="9"/>
      <c r="C70" s="10"/>
      <c r="D70" s="10"/>
      <c r="E70" s="14"/>
      <c r="F70" s="4"/>
      <c r="G70" s="4"/>
      <c r="H70" s="4"/>
    </row>
    <row r="71" spans="2:8" ht="16" x14ac:dyDescent="0.2">
      <c r="B71" s="9"/>
      <c r="C71" s="10"/>
      <c r="D71" s="10"/>
      <c r="E71" s="14"/>
      <c r="F71" s="4"/>
      <c r="G71" s="4"/>
      <c r="H71" s="4"/>
    </row>
    <row r="72" spans="2:8" ht="16" x14ac:dyDescent="0.2">
      <c r="B72" s="9"/>
      <c r="C72" s="10"/>
      <c r="D72" s="10"/>
      <c r="E72" s="14"/>
      <c r="F72" s="4"/>
      <c r="G72" s="4"/>
      <c r="H72" s="4"/>
    </row>
    <row r="73" spans="2:8" ht="16" x14ac:dyDescent="0.2">
      <c r="B73" s="9"/>
      <c r="C73" s="10"/>
      <c r="D73" s="10"/>
      <c r="E73" s="14"/>
      <c r="F73" s="4"/>
      <c r="G73" s="4"/>
      <c r="H73" s="4"/>
    </row>
    <row r="74" spans="2:8" ht="16" x14ac:dyDescent="0.2">
      <c r="B74" s="9"/>
      <c r="C74" s="10"/>
      <c r="D74" s="10"/>
      <c r="E74" s="14"/>
      <c r="F74" s="4"/>
      <c r="G74" s="4"/>
      <c r="H74" s="4"/>
    </row>
    <row r="75" spans="2:8" ht="16" x14ac:dyDescent="0.2">
      <c r="B75" s="9"/>
      <c r="C75" s="10"/>
      <c r="D75" s="10"/>
      <c r="E75" s="14"/>
      <c r="F75" s="4"/>
      <c r="G75" s="4"/>
      <c r="H75" s="4"/>
    </row>
    <row r="76" spans="2:8" ht="16" x14ac:dyDescent="0.2">
      <c r="B76" s="9"/>
      <c r="C76" s="10"/>
      <c r="D76" s="10"/>
      <c r="E76" s="14"/>
      <c r="F76" s="4"/>
      <c r="G76" s="4"/>
      <c r="H76" s="4"/>
    </row>
    <row r="77" spans="2:8" ht="16" x14ac:dyDescent="0.2">
      <c r="B77" s="9"/>
      <c r="C77" s="10"/>
      <c r="D77" s="10"/>
      <c r="E77" s="14"/>
      <c r="F77" s="4"/>
      <c r="G77" s="4"/>
      <c r="H77" s="4"/>
    </row>
    <row r="78" spans="2:8" ht="16" x14ac:dyDescent="0.2">
      <c r="B78" s="9"/>
      <c r="C78" s="10"/>
      <c r="D78" s="10"/>
      <c r="E78" s="14"/>
      <c r="F78" s="4"/>
      <c r="G78" s="4"/>
      <c r="H78" s="4"/>
    </row>
    <row r="79" spans="2:8" ht="16" x14ac:dyDescent="0.2">
      <c r="B79" s="9"/>
      <c r="C79" s="10"/>
      <c r="D79" s="10"/>
      <c r="E79" s="14"/>
      <c r="F79" s="4"/>
      <c r="G79" s="4"/>
      <c r="H79" s="4"/>
    </row>
    <row r="80" spans="2:8" ht="16" x14ac:dyDescent="0.2">
      <c r="B80" s="9"/>
      <c r="C80" s="10"/>
      <c r="D80" s="10"/>
      <c r="E80" s="14"/>
      <c r="F80" s="4"/>
      <c r="G80" s="4"/>
      <c r="H80" s="4"/>
    </row>
    <row r="81" spans="2:8" ht="16" x14ac:dyDescent="0.2">
      <c r="B81" s="9"/>
      <c r="C81" s="10"/>
      <c r="D81" s="10"/>
      <c r="E81" s="14"/>
      <c r="F81" s="4"/>
      <c r="G81" s="4"/>
      <c r="H81" s="4"/>
    </row>
    <row r="82" spans="2:8" ht="16" x14ac:dyDescent="0.2">
      <c r="B82" s="9"/>
      <c r="C82" s="10"/>
      <c r="D82" s="10"/>
      <c r="E82" s="14"/>
      <c r="F82" s="4"/>
      <c r="G82" s="4"/>
      <c r="H82" s="4"/>
    </row>
    <row r="83" spans="2:8" ht="16" x14ac:dyDescent="0.2">
      <c r="B83" s="9"/>
      <c r="C83" s="10"/>
      <c r="D83" s="10"/>
      <c r="E83" s="14"/>
      <c r="F83" s="4"/>
      <c r="G83" s="4"/>
      <c r="H83" s="4"/>
    </row>
    <row r="84" spans="2:8" ht="16" x14ac:dyDescent="0.2">
      <c r="B84" s="9"/>
      <c r="C84" s="10"/>
      <c r="D84" s="10"/>
      <c r="E84" s="14"/>
      <c r="F84" s="4"/>
      <c r="G84" s="4"/>
      <c r="H84" s="4"/>
    </row>
    <row r="85" spans="2:8" ht="16" x14ac:dyDescent="0.2">
      <c r="B85" s="9"/>
      <c r="C85" s="10"/>
      <c r="D85" s="10"/>
      <c r="E85" s="14"/>
      <c r="F85" s="4"/>
      <c r="G85" s="4"/>
      <c r="H85" s="4"/>
    </row>
    <row r="86" spans="2:8" ht="16" x14ac:dyDescent="0.2">
      <c r="B86" s="9"/>
      <c r="C86" s="10"/>
      <c r="D86" s="10"/>
      <c r="E86" s="14"/>
      <c r="F86" s="4"/>
      <c r="G86" s="4"/>
      <c r="H86" s="4"/>
    </row>
    <row r="87" spans="2:8" ht="16" x14ac:dyDescent="0.2">
      <c r="B87" s="9"/>
      <c r="C87" s="10"/>
      <c r="D87" s="10"/>
      <c r="E87" s="14"/>
      <c r="F87" s="4"/>
      <c r="G87" s="4"/>
      <c r="H87" s="4"/>
    </row>
    <row r="88" spans="2:8" ht="16" x14ac:dyDescent="0.2">
      <c r="B88" s="9"/>
      <c r="C88" s="10"/>
      <c r="D88" s="10"/>
      <c r="E88" s="14"/>
      <c r="F88" s="4"/>
      <c r="G88" s="4"/>
      <c r="H88" s="4"/>
    </row>
    <row r="89" spans="2:8" ht="16" x14ac:dyDescent="0.2">
      <c r="B89" s="9"/>
      <c r="C89" s="10"/>
      <c r="D89" s="10"/>
      <c r="E89" s="14"/>
      <c r="F89" s="4"/>
      <c r="G89" s="4"/>
      <c r="H89" s="4"/>
    </row>
    <row r="90" spans="2:8" ht="16" x14ac:dyDescent="0.2">
      <c r="B90" s="9"/>
      <c r="C90" s="10"/>
      <c r="D90" s="10"/>
      <c r="E90" s="14"/>
      <c r="F90" s="4"/>
      <c r="G90" s="4"/>
      <c r="H90" s="4"/>
    </row>
    <row r="91" spans="2:8" ht="16" x14ac:dyDescent="0.2">
      <c r="B91" s="9"/>
      <c r="C91" s="10"/>
      <c r="D91" s="10"/>
      <c r="E91" s="14"/>
      <c r="F91" s="4"/>
      <c r="G91" s="4"/>
      <c r="H91" s="4"/>
    </row>
    <row r="92" spans="2:8" ht="16" x14ac:dyDescent="0.2">
      <c r="B92" s="9"/>
      <c r="C92" s="10"/>
      <c r="D92" s="10"/>
      <c r="E92" s="14"/>
      <c r="F92" s="4"/>
      <c r="G92" s="4"/>
      <c r="H92" s="4"/>
    </row>
    <row r="93" spans="2:8" ht="16" x14ac:dyDescent="0.2">
      <c r="B93" s="9"/>
      <c r="C93" s="10"/>
      <c r="D93" s="10"/>
      <c r="E93" s="14"/>
      <c r="F93" s="4"/>
      <c r="G93" s="4"/>
      <c r="H93" s="4"/>
    </row>
    <row r="94" spans="2:8" ht="16" x14ac:dyDescent="0.2">
      <c r="B94" s="9"/>
      <c r="C94" s="10"/>
      <c r="D94" s="10"/>
      <c r="E94" s="14"/>
      <c r="F94" s="4"/>
      <c r="G94" s="4"/>
      <c r="H94" s="4"/>
    </row>
    <row r="95" spans="2:8" ht="16" x14ac:dyDescent="0.2">
      <c r="B95" s="9"/>
      <c r="C95" s="10"/>
      <c r="D95" s="10"/>
      <c r="E95" s="14"/>
      <c r="F95" s="4"/>
      <c r="G95" s="4"/>
      <c r="H95" s="4"/>
    </row>
    <row r="96" spans="2:8" ht="16" x14ac:dyDescent="0.2">
      <c r="B96" s="9"/>
      <c r="C96" s="10"/>
      <c r="D96" s="10"/>
      <c r="E96" s="14"/>
      <c r="F96" s="4"/>
      <c r="G96" s="4"/>
      <c r="H96" s="4"/>
    </row>
    <row r="97" spans="2:8" ht="16" x14ac:dyDescent="0.2">
      <c r="B97" s="9"/>
      <c r="C97" s="10"/>
      <c r="D97" s="10"/>
      <c r="E97" s="14"/>
      <c r="F97" s="4"/>
      <c r="G97" s="4"/>
      <c r="H97" s="4"/>
    </row>
    <row r="98" spans="2:8" ht="16" x14ac:dyDescent="0.2">
      <c r="B98" s="9"/>
      <c r="C98" s="10"/>
      <c r="D98" s="10"/>
      <c r="E98" s="14"/>
      <c r="F98" s="4"/>
      <c r="G98" s="4"/>
      <c r="H98" s="4"/>
    </row>
    <row r="99" spans="2:8" ht="16" x14ac:dyDescent="0.2">
      <c r="B99" s="9"/>
      <c r="C99" s="10"/>
      <c r="D99" s="10"/>
      <c r="E99" s="14"/>
      <c r="F99" s="4"/>
      <c r="G99" s="4"/>
      <c r="H99" s="4"/>
    </row>
    <row r="100" spans="2:8" ht="16" x14ac:dyDescent="0.2">
      <c r="B100" s="9"/>
      <c r="C100" s="10"/>
      <c r="D100" s="10"/>
      <c r="E100" s="14"/>
      <c r="F100" s="4"/>
      <c r="G100" s="4"/>
      <c r="H100" s="4"/>
    </row>
    <row r="101" spans="2:8" ht="16" x14ac:dyDescent="0.2">
      <c r="B101" s="9"/>
      <c r="C101" s="10"/>
      <c r="D101" s="10"/>
      <c r="E101" s="14"/>
      <c r="F101" s="4"/>
      <c r="G101" s="4"/>
      <c r="H101" s="4"/>
    </row>
    <row r="102" spans="2:8" ht="16" x14ac:dyDescent="0.2">
      <c r="B102" s="9"/>
      <c r="C102" s="10"/>
      <c r="D102" s="10"/>
      <c r="E102" s="14"/>
      <c r="F102" s="4"/>
      <c r="G102" s="4"/>
      <c r="H102" s="4"/>
    </row>
    <row r="103" spans="2:8" ht="16" x14ac:dyDescent="0.2">
      <c r="B103" s="9"/>
      <c r="C103" s="10"/>
      <c r="D103" s="10"/>
      <c r="E103" s="14"/>
      <c r="F103" s="4"/>
      <c r="G103" s="4"/>
      <c r="H103" s="4"/>
    </row>
    <row r="104" spans="2:8" ht="16" x14ac:dyDescent="0.2">
      <c r="B104" s="9"/>
      <c r="C104" s="10"/>
      <c r="D104" s="10"/>
      <c r="E104" s="14"/>
      <c r="F104" s="4"/>
      <c r="G104" s="4"/>
      <c r="H104" s="4"/>
    </row>
    <row r="105" spans="2:8" ht="16" x14ac:dyDescent="0.2">
      <c r="B105" s="9"/>
      <c r="C105" s="10"/>
      <c r="D105" s="10"/>
      <c r="E105" s="14"/>
      <c r="F105" s="4"/>
      <c r="G105" s="4"/>
      <c r="H105" s="4"/>
    </row>
    <row r="106" spans="2:8" ht="16" x14ac:dyDescent="0.2">
      <c r="B106" s="9"/>
      <c r="C106" s="10"/>
      <c r="D106" s="10"/>
      <c r="E106" s="14"/>
      <c r="F106" s="4"/>
      <c r="G106" s="4"/>
      <c r="H106" s="4"/>
    </row>
    <row r="107" spans="2:8" ht="16" x14ac:dyDescent="0.2">
      <c r="B107" s="9"/>
      <c r="C107" s="10"/>
      <c r="D107" s="10"/>
      <c r="E107" s="14"/>
      <c r="F107" s="4"/>
      <c r="G107" s="4"/>
      <c r="H107" s="4"/>
    </row>
    <row r="108" spans="2:8" ht="16" x14ac:dyDescent="0.2">
      <c r="B108" s="9"/>
      <c r="C108" s="10"/>
      <c r="D108" s="10"/>
      <c r="E108" s="14"/>
      <c r="F108" s="4"/>
      <c r="G108" s="4"/>
      <c r="H108" s="4"/>
    </row>
    <row r="109" spans="2:8" ht="16" x14ac:dyDescent="0.2">
      <c r="B109" s="9"/>
      <c r="C109" s="10"/>
      <c r="D109" s="10"/>
      <c r="E109" s="14"/>
      <c r="F109" s="4"/>
      <c r="G109" s="4"/>
      <c r="H109" s="4"/>
    </row>
    <row r="110" spans="2:8" ht="16" x14ac:dyDescent="0.2">
      <c r="B110" s="9"/>
      <c r="C110" s="10"/>
      <c r="D110" s="10"/>
      <c r="E110" s="14"/>
      <c r="F110" s="4"/>
      <c r="G110" s="4"/>
      <c r="H110" s="4"/>
    </row>
    <row r="111" spans="2:8" ht="16" x14ac:dyDescent="0.2">
      <c r="B111" s="9"/>
      <c r="C111" s="10"/>
      <c r="D111" s="10"/>
      <c r="E111" s="14"/>
      <c r="F111" s="4"/>
      <c r="G111" s="4"/>
      <c r="H111" s="4"/>
    </row>
    <row r="112" spans="2:8" ht="16" x14ac:dyDescent="0.2">
      <c r="B112" s="9"/>
      <c r="C112" s="10"/>
      <c r="D112" s="10"/>
      <c r="E112" s="14"/>
      <c r="F112" s="4"/>
      <c r="G112" s="4"/>
      <c r="H112" s="4"/>
    </row>
    <row r="113" spans="2:8" ht="16" x14ac:dyDescent="0.2">
      <c r="B113" s="9"/>
      <c r="C113" s="10"/>
      <c r="D113" s="10"/>
      <c r="E113" s="14"/>
      <c r="F113" s="4"/>
      <c r="G113" s="4"/>
      <c r="H113" s="4"/>
    </row>
    <row r="114" spans="2:8" ht="16" x14ac:dyDescent="0.2">
      <c r="B114" s="9"/>
      <c r="C114" s="10"/>
      <c r="D114" s="10"/>
      <c r="E114" s="14"/>
      <c r="F114" s="4"/>
      <c r="G114" s="4"/>
      <c r="H114" s="4"/>
    </row>
    <row r="115" spans="2:8" ht="16" x14ac:dyDescent="0.2">
      <c r="B115" s="9"/>
      <c r="C115" s="10"/>
      <c r="D115" s="10"/>
      <c r="E115" s="14"/>
      <c r="F115" s="4"/>
      <c r="G115" s="4"/>
      <c r="H115" s="4"/>
    </row>
    <row r="116" spans="2:8" ht="16" x14ac:dyDescent="0.2">
      <c r="B116" s="9"/>
      <c r="C116" s="10"/>
      <c r="D116" s="10"/>
      <c r="E116" s="14"/>
      <c r="F116" s="4"/>
      <c r="G116" s="4"/>
      <c r="H116" s="4"/>
    </row>
    <row r="117" spans="2:8" ht="16" x14ac:dyDescent="0.2">
      <c r="B117" s="9"/>
      <c r="C117" s="10"/>
      <c r="D117" s="10"/>
      <c r="E117" s="14"/>
      <c r="F117" s="4"/>
      <c r="G117" s="4"/>
      <c r="H117" s="4"/>
    </row>
    <row r="118" spans="2:8" ht="16" x14ac:dyDescent="0.2">
      <c r="B118" s="9"/>
      <c r="C118" s="10"/>
      <c r="D118" s="10"/>
      <c r="E118" s="14"/>
      <c r="F118" s="4"/>
      <c r="G118" s="4"/>
      <c r="H118" s="4"/>
    </row>
    <row r="119" spans="2:8" ht="16" x14ac:dyDescent="0.2">
      <c r="B119" s="9"/>
      <c r="C119" s="10"/>
      <c r="D119" s="10"/>
      <c r="E119" s="14"/>
      <c r="F119" s="4"/>
      <c r="G119" s="4"/>
      <c r="H119" s="4"/>
    </row>
    <row r="120" spans="2:8" ht="16" x14ac:dyDescent="0.2">
      <c r="B120" s="9"/>
      <c r="C120" s="10"/>
      <c r="D120" s="10"/>
      <c r="E120" s="14"/>
      <c r="F120" s="4"/>
      <c r="G120" s="4"/>
      <c r="H120" s="4"/>
    </row>
    <row r="121" spans="2:8" ht="16" x14ac:dyDescent="0.2">
      <c r="B121" s="9"/>
      <c r="C121" s="10"/>
      <c r="D121" s="10"/>
      <c r="E121" s="14"/>
      <c r="F121" s="4"/>
      <c r="G121" s="4"/>
      <c r="H121" s="4"/>
    </row>
    <row r="122" spans="2:8" ht="16" x14ac:dyDescent="0.2">
      <c r="B122" s="9"/>
      <c r="C122" s="10"/>
      <c r="D122" s="10"/>
      <c r="E122" s="14"/>
      <c r="F122" s="4"/>
      <c r="G122" s="4"/>
      <c r="H122" s="4"/>
    </row>
    <row r="123" spans="2:8" ht="16" x14ac:dyDescent="0.2">
      <c r="B123" s="9"/>
      <c r="C123" s="10"/>
      <c r="D123" s="10"/>
      <c r="E123" s="14"/>
      <c r="F123" s="4"/>
      <c r="G123" s="4"/>
      <c r="H123" s="4"/>
    </row>
    <row r="124" spans="2:8" ht="16" x14ac:dyDescent="0.2">
      <c r="B124" s="9"/>
      <c r="C124" s="10"/>
      <c r="D124" s="10"/>
      <c r="E124" s="14"/>
      <c r="F124" s="4"/>
      <c r="G124" s="4"/>
      <c r="H124" s="4"/>
    </row>
    <row r="125" spans="2:8" ht="16" x14ac:dyDescent="0.2">
      <c r="B125" s="9"/>
      <c r="C125" s="10"/>
      <c r="D125" s="10"/>
      <c r="E125" s="14"/>
      <c r="F125" s="4"/>
      <c r="G125" s="4"/>
      <c r="H125" s="4"/>
    </row>
    <row r="126" spans="2:8" ht="16" x14ac:dyDescent="0.2">
      <c r="B126" s="9"/>
      <c r="C126" s="10"/>
      <c r="D126" s="10"/>
      <c r="E126" s="14"/>
      <c r="F126" s="4"/>
      <c r="G126" s="4"/>
      <c r="H126" s="4"/>
    </row>
    <row r="127" spans="2:8" ht="16" x14ac:dyDescent="0.2">
      <c r="B127" s="9"/>
      <c r="C127" s="10"/>
      <c r="D127" s="10"/>
      <c r="E127" s="14"/>
      <c r="F127" s="4"/>
      <c r="G127" s="4"/>
      <c r="H127" s="4"/>
    </row>
    <row r="128" spans="2:8" ht="16" x14ac:dyDescent="0.2">
      <c r="B128" s="9"/>
      <c r="C128" s="10"/>
      <c r="D128" s="10"/>
      <c r="E128" s="14"/>
      <c r="F128" s="4"/>
      <c r="G128" s="4"/>
      <c r="H128" s="4"/>
    </row>
    <row r="129" spans="2:8" ht="16" x14ac:dyDescent="0.2">
      <c r="B129" s="9"/>
      <c r="C129" s="10"/>
      <c r="D129" s="10"/>
      <c r="E129" s="14"/>
      <c r="F129" s="4"/>
      <c r="G129" s="4"/>
      <c r="H129" s="4"/>
    </row>
    <row r="130" spans="2:8" ht="16" x14ac:dyDescent="0.2">
      <c r="B130" s="9"/>
      <c r="C130" s="10"/>
      <c r="D130" s="10"/>
      <c r="E130" s="14"/>
      <c r="F130" s="4"/>
      <c r="G130" s="4"/>
      <c r="H130" s="4"/>
    </row>
    <row r="131" spans="2:8" ht="16" x14ac:dyDescent="0.2">
      <c r="B131" s="9"/>
      <c r="C131" s="10"/>
      <c r="D131" s="10"/>
      <c r="E131" s="14"/>
      <c r="F131" s="4"/>
      <c r="G131" s="4"/>
      <c r="H131" s="4"/>
    </row>
    <row r="132" spans="2:8" ht="16" x14ac:dyDescent="0.2">
      <c r="B132" s="9"/>
      <c r="C132" s="10"/>
      <c r="D132" s="10"/>
      <c r="E132" s="14"/>
      <c r="F132" s="4"/>
      <c r="G132" s="4"/>
      <c r="H132" s="4"/>
    </row>
    <row r="133" spans="2:8" ht="16" x14ac:dyDescent="0.2">
      <c r="B133" s="9"/>
      <c r="C133" s="10"/>
      <c r="D133" s="10"/>
      <c r="E133" s="14"/>
      <c r="F133" s="4"/>
      <c r="G133" s="4"/>
      <c r="H133" s="4"/>
    </row>
    <row r="134" spans="2:8" ht="16" x14ac:dyDescent="0.2">
      <c r="B134" s="9"/>
      <c r="C134" s="10"/>
      <c r="D134" s="10"/>
      <c r="E134" s="14"/>
      <c r="F134" s="4"/>
      <c r="G134" s="4"/>
      <c r="H134" s="4"/>
    </row>
    <row r="135" spans="2:8" ht="16" x14ac:dyDescent="0.2">
      <c r="B135" s="9"/>
      <c r="C135" s="10"/>
      <c r="D135" s="10"/>
      <c r="E135" s="14"/>
      <c r="F135" s="4"/>
      <c r="G135" s="4"/>
      <c r="H135" s="4"/>
    </row>
    <row r="136" spans="2:8" ht="16" x14ac:dyDescent="0.2">
      <c r="B136" s="9"/>
      <c r="C136" s="10"/>
      <c r="D136" s="10"/>
      <c r="E136" s="14"/>
      <c r="F136" s="4"/>
      <c r="G136" s="4"/>
      <c r="H136" s="4"/>
    </row>
    <row r="137" spans="2:8" ht="16" x14ac:dyDescent="0.2">
      <c r="B137" s="9"/>
      <c r="C137" s="10"/>
      <c r="D137" s="10"/>
      <c r="E137" s="14"/>
      <c r="F137" s="4"/>
      <c r="G137" s="4"/>
      <c r="H137" s="4"/>
    </row>
    <row r="138" spans="2:8" ht="16" x14ac:dyDescent="0.2">
      <c r="B138" s="9"/>
      <c r="C138" s="10"/>
      <c r="D138" s="10"/>
      <c r="E138" s="14"/>
      <c r="F138" s="4"/>
      <c r="G138" s="4"/>
      <c r="H138" s="4"/>
    </row>
    <row r="139" spans="2:8" ht="16" x14ac:dyDescent="0.2">
      <c r="B139" s="9"/>
      <c r="C139" s="10"/>
      <c r="D139" s="10"/>
      <c r="E139" s="14"/>
      <c r="F139" s="4"/>
      <c r="G139" s="4"/>
      <c r="H139" s="4"/>
    </row>
    <row r="140" spans="2:8" ht="16" x14ac:dyDescent="0.2">
      <c r="B140" s="9"/>
      <c r="C140" s="10"/>
      <c r="D140" s="10"/>
      <c r="E140" s="14"/>
      <c r="F140" s="4"/>
      <c r="G140" s="4"/>
      <c r="H140" s="4"/>
    </row>
    <row r="141" spans="2:8" ht="16" x14ac:dyDescent="0.2">
      <c r="B141" s="9"/>
      <c r="C141" s="10"/>
      <c r="D141" s="10"/>
      <c r="E141" s="14"/>
      <c r="F141" s="4"/>
      <c r="G141" s="4"/>
      <c r="H141" s="4"/>
    </row>
    <row r="142" spans="2:8" ht="16" x14ac:dyDescent="0.2">
      <c r="B142" s="9"/>
      <c r="C142" s="10"/>
      <c r="D142" s="10"/>
      <c r="E142" s="14"/>
      <c r="F142" s="4"/>
      <c r="G142" s="4"/>
      <c r="H142" s="4"/>
    </row>
    <row r="143" spans="2:8" ht="16" x14ac:dyDescent="0.2">
      <c r="B143" s="9"/>
      <c r="C143" s="10"/>
      <c r="D143" s="10"/>
      <c r="E143" s="14"/>
      <c r="F143" s="4"/>
      <c r="G143" s="4"/>
      <c r="H143" s="4"/>
    </row>
    <row r="144" spans="2:8" ht="16" x14ac:dyDescent="0.2">
      <c r="B144" s="9"/>
      <c r="C144" s="10"/>
      <c r="D144" s="10"/>
      <c r="E144" s="14"/>
      <c r="F144" s="4"/>
      <c r="G144" s="4"/>
      <c r="H144" s="4"/>
    </row>
    <row r="145" spans="2:8" ht="16" x14ac:dyDescent="0.2">
      <c r="B145" s="9"/>
      <c r="C145" s="10"/>
      <c r="D145" s="10"/>
      <c r="E145" s="14"/>
      <c r="F145" s="4"/>
      <c r="G145" s="4"/>
      <c r="H145" s="4"/>
    </row>
    <row r="146" spans="2:8" ht="16" x14ac:dyDescent="0.2">
      <c r="B146" s="9"/>
      <c r="C146" s="10"/>
      <c r="D146" s="10"/>
      <c r="E146" s="14"/>
      <c r="F146" s="4"/>
      <c r="G146" s="4"/>
      <c r="H146" s="4"/>
    </row>
    <row r="147" spans="2:8" ht="16" x14ac:dyDescent="0.2">
      <c r="B147" s="9"/>
      <c r="C147" s="10"/>
      <c r="D147" s="10"/>
      <c r="E147" s="14"/>
      <c r="F147" s="4"/>
      <c r="G147" s="4"/>
      <c r="H147" s="4"/>
    </row>
    <row r="148" spans="2:8" ht="16" x14ac:dyDescent="0.2">
      <c r="B148" s="9"/>
      <c r="C148" s="10"/>
      <c r="D148" s="10"/>
      <c r="E148" s="14"/>
      <c r="F148" s="4"/>
      <c r="G148" s="4"/>
      <c r="H148" s="4"/>
    </row>
    <row r="149" spans="2:8" ht="16" x14ac:dyDescent="0.2">
      <c r="B149" s="9"/>
      <c r="C149" s="10"/>
      <c r="D149" s="10"/>
      <c r="E149" s="14"/>
      <c r="F149" s="4"/>
      <c r="G149" s="4"/>
      <c r="H149" s="4"/>
    </row>
    <row r="150" spans="2:8" ht="16" x14ac:dyDescent="0.2">
      <c r="B150" s="9"/>
      <c r="C150" s="10"/>
      <c r="D150" s="10"/>
      <c r="E150" s="14"/>
      <c r="F150" s="4"/>
      <c r="G150" s="4"/>
      <c r="H150" s="4"/>
    </row>
    <row r="151" spans="2:8" ht="16" x14ac:dyDescent="0.2">
      <c r="B151" s="9"/>
      <c r="C151" s="10"/>
      <c r="D151" s="10"/>
      <c r="E151" s="14"/>
      <c r="F151" s="4"/>
      <c r="G151" s="4"/>
      <c r="H151" s="4"/>
    </row>
    <row r="152" spans="2:8" ht="16" x14ac:dyDescent="0.2">
      <c r="B152" s="9"/>
      <c r="C152" s="10"/>
      <c r="D152" s="10"/>
      <c r="E152" s="14"/>
      <c r="F152" s="4"/>
      <c r="G152" s="4"/>
      <c r="H152" s="4"/>
    </row>
    <row r="153" spans="2:8" ht="16" x14ac:dyDescent="0.2">
      <c r="B153" s="9"/>
      <c r="C153" s="10"/>
      <c r="D153" s="10"/>
      <c r="E153" s="14"/>
      <c r="F153" s="4"/>
      <c r="G153" s="4"/>
      <c r="H153" s="4"/>
    </row>
    <row r="154" spans="2:8" ht="16" x14ac:dyDescent="0.2">
      <c r="B154" s="9"/>
      <c r="C154" s="10"/>
      <c r="D154" s="10"/>
      <c r="E154" s="14"/>
      <c r="F154" s="4"/>
      <c r="G154" s="4"/>
      <c r="H154" s="4"/>
    </row>
    <row r="155" spans="2:8" ht="16" x14ac:dyDescent="0.2">
      <c r="B155" s="9"/>
      <c r="C155" s="10"/>
      <c r="D155" s="10"/>
      <c r="E155" s="14"/>
      <c r="F155" s="4"/>
      <c r="G155" s="4"/>
      <c r="H155" s="4"/>
    </row>
    <row r="156" spans="2:8" ht="16" x14ac:dyDescent="0.2">
      <c r="B156" s="9"/>
      <c r="C156" s="10"/>
      <c r="D156" s="10"/>
      <c r="E156" s="14"/>
      <c r="F156" s="4"/>
      <c r="G156" s="4"/>
      <c r="H156" s="4"/>
    </row>
    <row r="157" spans="2:8" ht="16" x14ac:dyDescent="0.2">
      <c r="B157" s="9"/>
      <c r="C157" s="10"/>
      <c r="D157" s="10"/>
      <c r="E157" s="14"/>
      <c r="F157" s="4"/>
      <c r="G157" s="4"/>
      <c r="H157" s="4"/>
    </row>
    <row r="158" spans="2:8" ht="16" x14ac:dyDescent="0.2">
      <c r="B158" s="9"/>
      <c r="C158" s="10"/>
      <c r="D158" s="10"/>
      <c r="E158" s="14"/>
      <c r="F158" s="4"/>
      <c r="G158" s="4"/>
      <c r="H158" s="4"/>
    </row>
    <row r="159" spans="2:8" ht="16" x14ac:dyDescent="0.2">
      <c r="B159" s="9"/>
      <c r="C159" s="10"/>
      <c r="D159" s="10"/>
      <c r="E159" s="14"/>
      <c r="F159" s="4"/>
      <c r="G159" s="4"/>
      <c r="H159" s="4"/>
    </row>
    <row r="160" spans="2:8" ht="16" x14ac:dyDescent="0.2">
      <c r="B160" s="9"/>
      <c r="C160" s="10"/>
      <c r="D160" s="10"/>
      <c r="E160" s="14"/>
      <c r="F160" s="4"/>
      <c r="G160" s="4"/>
      <c r="H160" s="4"/>
    </row>
    <row r="161" spans="2:8" ht="16" x14ac:dyDescent="0.2">
      <c r="B161" s="9"/>
      <c r="C161" s="10"/>
      <c r="D161" s="10"/>
      <c r="E161" s="14"/>
      <c r="F161" s="4"/>
      <c r="G161" s="4"/>
      <c r="H161" s="4"/>
    </row>
    <row r="162" spans="2:8" ht="16" x14ac:dyDescent="0.2">
      <c r="B162" s="9"/>
      <c r="C162" s="10"/>
      <c r="D162" s="10"/>
      <c r="E162" s="14"/>
      <c r="F162" s="4"/>
      <c r="G162" s="4"/>
      <c r="H162" s="4"/>
    </row>
    <row r="163" spans="2:8" ht="16" x14ac:dyDescent="0.2">
      <c r="B163" s="9"/>
      <c r="C163" s="10"/>
      <c r="D163" s="10"/>
      <c r="E163" s="14"/>
      <c r="F163" s="4"/>
      <c r="G163" s="4"/>
      <c r="H163" s="4"/>
    </row>
    <row r="164" spans="2:8" ht="16" x14ac:dyDescent="0.2">
      <c r="B164" s="9"/>
      <c r="C164" s="10"/>
      <c r="D164" s="10"/>
      <c r="E164" s="14"/>
      <c r="F164" s="4"/>
      <c r="G164" s="4"/>
      <c r="H164" s="4"/>
    </row>
    <row r="165" spans="2:8" ht="16" x14ac:dyDescent="0.2">
      <c r="B165" s="9"/>
      <c r="C165" s="10"/>
      <c r="D165" s="10"/>
      <c r="E165" s="14"/>
      <c r="F165" s="4"/>
      <c r="G165" s="4"/>
      <c r="H165" s="4"/>
    </row>
    <row r="166" spans="2:8" ht="16" x14ac:dyDescent="0.2">
      <c r="B166" s="9"/>
      <c r="C166" s="10"/>
      <c r="D166" s="10"/>
      <c r="E166" s="14"/>
      <c r="F166" s="4"/>
      <c r="G166" s="4"/>
      <c r="H166" s="4"/>
    </row>
    <row r="167" spans="2:8" ht="16" x14ac:dyDescent="0.2">
      <c r="B167" s="9"/>
      <c r="C167" s="10"/>
      <c r="D167" s="10"/>
      <c r="E167" s="14"/>
      <c r="F167" s="4"/>
      <c r="G167" s="4"/>
      <c r="H167" s="4"/>
    </row>
    <row r="168" spans="2:8" ht="16" x14ac:dyDescent="0.2">
      <c r="B168" s="9"/>
      <c r="C168" s="10"/>
      <c r="D168" s="10"/>
      <c r="E168" s="14"/>
      <c r="F168" s="4"/>
      <c r="G168" s="4"/>
      <c r="H168" s="4"/>
    </row>
    <row r="169" spans="2:8" ht="16" x14ac:dyDescent="0.2">
      <c r="B169" s="9"/>
      <c r="C169" s="10"/>
      <c r="D169" s="10"/>
      <c r="E169" s="14"/>
      <c r="F169" s="4"/>
      <c r="G169" s="4"/>
      <c r="H169" s="4"/>
    </row>
    <row r="170" spans="2:8" ht="16" x14ac:dyDescent="0.2">
      <c r="B170" s="9"/>
      <c r="C170" s="10"/>
      <c r="D170" s="10"/>
      <c r="E170" s="14"/>
      <c r="F170" s="4"/>
      <c r="G170" s="4"/>
      <c r="H170" s="4"/>
    </row>
    <row r="171" spans="2:8" ht="16" x14ac:dyDescent="0.2">
      <c r="B171" s="9"/>
      <c r="C171" s="10"/>
      <c r="D171" s="10"/>
      <c r="E171" s="14"/>
      <c r="F171" s="4"/>
      <c r="G171" s="4"/>
      <c r="H171" s="4"/>
    </row>
    <row r="172" spans="2:8" ht="16" x14ac:dyDescent="0.2">
      <c r="B172" s="9"/>
      <c r="C172" s="10"/>
      <c r="D172" s="10"/>
      <c r="E172" s="14"/>
      <c r="F172" s="4"/>
      <c r="G172" s="4"/>
      <c r="H172" s="4"/>
    </row>
    <row r="173" spans="2:8" ht="16" x14ac:dyDescent="0.2">
      <c r="B173" s="9"/>
      <c r="C173" s="10"/>
      <c r="D173" s="10"/>
      <c r="E173" s="14"/>
      <c r="F173" s="4"/>
      <c r="G173" s="4"/>
      <c r="H173" s="4"/>
    </row>
    <row r="174" spans="2:8" ht="16" x14ac:dyDescent="0.2">
      <c r="B174" s="9"/>
      <c r="C174" s="10"/>
      <c r="D174" s="10"/>
      <c r="E174" s="14"/>
      <c r="F174" s="4"/>
      <c r="G174" s="4"/>
      <c r="H174" s="4"/>
    </row>
    <row r="175" spans="2:8" ht="16" x14ac:dyDescent="0.2">
      <c r="B175" s="9"/>
      <c r="C175" s="10"/>
      <c r="D175" s="10"/>
      <c r="E175" s="14"/>
      <c r="F175" s="4"/>
      <c r="G175" s="4"/>
      <c r="H175" s="4"/>
    </row>
    <row r="176" spans="2:8" ht="16" x14ac:dyDescent="0.2">
      <c r="B176" s="9"/>
      <c r="C176" s="10"/>
      <c r="D176" s="10"/>
      <c r="E176" s="14"/>
      <c r="F176" s="4"/>
      <c r="G176" s="4"/>
      <c r="H176" s="4"/>
    </row>
    <row r="177" spans="2:8" ht="16" x14ac:dyDescent="0.2">
      <c r="B177" s="9"/>
      <c r="C177" s="10"/>
      <c r="D177" s="10"/>
      <c r="E177" s="14"/>
      <c r="F177" s="4"/>
      <c r="G177" s="4"/>
      <c r="H177" s="4"/>
    </row>
    <row r="178" spans="2:8" ht="16" x14ac:dyDescent="0.2">
      <c r="B178" s="9"/>
      <c r="C178" s="10"/>
      <c r="D178" s="10"/>
      <c r="E178" s="14"/>
      <c r="F178" s="4"/>
      <c r="G178" s="4"/>
      <c r="H178" s="4"/>
    </row>
    <row r="179" spans="2:8" ht="16" x14ac:dyDescent="0.2">
      <c r="B179" s="9"/>
      <c r="C179" s="10"/>
      <c r="D179" s="10"/>
      <c r="E179" s="14"/>
      <c r="F179" s="4"/>
      <c r="G179" s="4"/>
      <c r="H179" s="4"/>
    </row>
    <row r="180" spans="2:8" ht="16" x14ac:dyDescent="0.2">
      <c r="B180" s="9"/>
      <c r="C180" s="10"/>
      <c r="D180" s="10"/>
      <c r="E180" s="14"/>
      <c r="F180" s="4"/>
      <c r="G180" s="4"/>
      <c r="H180" s="4"/>
    </row>
    <row r="181" spans="2:8" ht="16" x14ac:dyDescent="0.2">
      <c r="B181" s="9"/>
      <c r="C181" s="10"/>
      <c r="D181" s="10"/>
      <c r="E181" s="14"/>
      <c r="F181" s="4"/>
      <c r="G181" s="4"/>
      <c r="H181" s="4"/>
    </row>
    <row r="182" spans="2:8" ht="16" x14ac:dyDescent="0.2">
      <c r="B182" s="9"/>
      <c r="C182" s="10"/>
      <c r="D182" s="10"/>
      <c r="E182" s="14"/>
      <c r="F182" s="4"/>
      <c r="G182" s="4"/>
      <c r="H182" s="4"/>
    </row>
    <row r="183" spans="2:8" ht="16" x14ac:dyDescent="0.2">
      <c r="B183" s="9"/>
      <c r="C183" s="10"/>
      <c r="D183" s="10"/>
      <c r="E183" s="14"/>
      <c r="F183" s="4"/>
      <c r="G183" s="4"/>
      <c r="H183" s="4"/>
    </row>
    <row r="184" spans="2:8" ht="16" x14ac:dyDescent="0.2">
      <c r="B184" s="9"/>
      <c r="C184" s="10"/>
      <c r="D184" s="10"/>
      <c r="E184" s="14"/>
      <c r="F184" s="4"/>
      <c r="G184" s="4"/>
      <c r="H184" s="4"/>
    </row>
    <row r="185" spans="2:8" ht="16" x14ac:dyDescent="0.2">
      <c r="B185" s="9"/>
      <c r="C185" s="10"/>
      <c r="D185" s="10"/>
      <c r="E185" s="14"/>
      <c r="F185" s="4"/>
      <c r="G185" s="4"/>
      <c r="H185" s="4"/>
    </row>
    <row r="186" spans="2:8" ht="16" x14ac:dyDescent="0.2">
      <c r="B186" s="9"/>
      <c r="C186" s="10"/>
      <c r="D186" s="10"/>
      <c r="E186" s="14"/>
      <c r="F186" s="4"/>
      <c r="G186" s="4"/>
      <c r="H186" s="4"/>
    </row>
    <row r="187" spans="2:8" ht="16" x14ac:dyDescent="0.2">
      <c r="B187" s="9"/>
      <c r="C187" s="10"/>
      <c r="D187" s="10"/>
      <c r="E187" s="14"/>
      <c r="F187" s="4"/>
      <c r="G187" s="4"/>
      <c r="H187" s="4"/>
    </row>
    <row r="188" spans="2:8" ht="16" x14ac:dyDescent="0.2">
      <c r="B188" s="9"/>
      <c r="C188" s="10"/>
      <c r="D188" s="10"/>
      <c r="E188" s="14"/>
      <c r="F188" s="4"/>
      <c r="G188" s="4"/>
      <c r="H188" s="4"/>
    </row>
    <row r="189" spans="2:8" ht="16" x14ac:dyDescent="0.2">
      <c r="B189" s="9"/>
      <c r="C189" s="10"/>
      <c r="D189" s="10"/>
      <c r="E189" s="14"/>
      <c r="F189" s="4"/>
      <c r="G189" s="4"/>
      <c r="H189" s="4"/>
    </row>
    <row r="190" spans="2:8" ht="16" x14ac:dyDescent="0.2">
      <c r="B190" s="9"/>
      <c r="C190" s="10"/>
      <c r="D190" s="10"/>
      <c r="E190" s="14"/>
      <c r="F190" s="4"/>
      <c r="G190" s="4"/>
      <c r="H190" s="4"/>
    </row>
    <row r="191" spans="2:8" ht="16" x14ac:dyDescent="0.2">
      <c r="B191" s="9"/>
      <c r="C191" s="10"/>
      <c r="D191" s="10"/>
      <c r="E191" s="14"/>
      <c r="F191" s="4"/>
      <c r="G191" s="4"/>
      <c r="H191" s="4"/>
    </row>
    <row r="192" spans="2:8" ht="16" x14ac:dyDescent="0.2">
      <c r="B192" s="9"/>
      <c r="C192" s="10"/>
      <c r="D192" s="10"/>
      <c r="E192" s="14"/>
      <c r="F192" s="4"/>
      <c r="G192" s="4"/>
      <c r="H192" s="4"/>
    </row>
    <row r="193" spans="2:8" ht="16" x14ac:dyDescent="0.2">
      <c r="B193" s="9"/>
      <c r="C193" s="10"/>
      <c r="D193" s="10"/>
      <c r="E193" s="14"/>
      <c r="F193" s="4"/>
      <c r="G193" s="4"/>
      <c r="H193" s="4"/>
    </row>
    <row r="194" spans="2:8" ht="16" x14ac:dyDescent="0.2">
      <c r="B194" s="9"/>
      <c r="C194" s="10"/>
      <c r="D194" s="10"/>
      <c r="E194" s="14"/>
      <c r="F194" s="4"/>
      <c r="G194" s="4"/>
      <c r="H194" s="4"/>
    </row>
    <row r="195" spans="2:8" ht="16" x14ac:dyDescent="0.2">
      <c r="B195" s="9"/>
      <c r="C195" s="10"/>
      <c r="D195" s="10"/>
      <c r="E195" s="14"/>
      <c r="F195" s="4"/>
      <c r="G195" s="4"/>
      <c r="H195" s="4"/>
    </row>
    <row r="196" spans="2:8" ht="16" x14ac:dyDescent="0.2">
      <c r="B196" s="9"/>
      <c r="C196" s="10"/>
      <c r="D196" s="10"/>
      <c r="E196" s="14"/>
      <c r="F196" s="4"/>
      <c r="G196" s="4"/>
      <c r="H196" s="4"/>
    </row>
    <row r="197" spans="2:8" ht="16" x14ac:dyDescent="0.2">
      <c r="B197" s="9"/>
      <c r="C197" s="10"/>
      <c r="D197" s="10"/>
      <c r="E197" s="14"/>
      <c r="F197" s="4"/>
      <c r="G197" s="4"/>
      <c r="H197" s="4"/>
    </row>
    <row r="198" spans="2:8" ht="16" x14ac:dyDescent="0.2">
      <c r="B198" s="9"/>
      <c r="C198" s="10"/>
      <c r="D198" s="10"/>
      <c r="E198" s="14"/>
      <c r="F198" s="4"/>
      <c r="G198" s="4"/>
      <c r="H198" s="4"/>
    </row>
    <row r="199" spans="2:8" ht="16" x14ac:dyDescent="0.2">
      <c r="B199" s="9"/>
      <c r="C199" s="10"/>
      <c r="D199" s="10"/>
      <c r="E199" s="14"/>
      <c r="F199" s="4"/>
      <c r="G199" s="4"/>
      <c r="H199" s="4"/>
    </row>
    <row r="200" spans="2:8" ht="16" x14ac:dyDescent="0.2">
      <c r="B200" s="9"/>
      <c r="C200" s="10"/>
      <c r="D200" s="10"/>
      <c r="E200" s="14"/>
      <c r="F200" s="4"/>
      <c r="G200" s="4"/>
      <c r="H200" s="4"/>
    </row>
    <row r="201" spans="2:8" ht="16" x14ac:dyDescent="0.2">
      <c r="B201" s="9"/>
      <c r="C201" s="10"/>
      <c r="D201" s="10"/>
      <c r="E201" s="14"/>
      <c r="F201" s="4"/>
      <c r="G201" s="4"/>
      <c r="H201" s="4"/>
    </row>
    <row r="202" spans="2:8" ht="16" x14ac:dyDescent="0.2">
      <c r="B202" s="9"/>
      <c r="C202" s="10"/>
      <c r="D202" s="10"/>
      <c r="E202" s="14"/>
      <c r="F202" s="4"/>
      <c r="G202" s="4"/>
      <c r="H202" s="4"/>
    </row>
    <row r="203" spans="2:8" ht="16" x14ac:dyDescent="0.2">
      <c r="B203" s="9"/>
      <c r="C203" s="10"/>
      <c r="D203" s="10"/>
      <c r="E203" s="14"/>
      <c r="F203" s="4"/>
      <c r="G203" s="4"/>
      <c r="H203" s="4"/>
    </row>
    <row r="204" spans="2:8" ht="16" x14ac:dyDescent="0.2">
      <c r="B204" s="9"/>
      <c r="C204" s="10"/>
      <c r="D204" s="10"/>
      <c r="E204" s="14"/>
      <c r="F204" s="4"/>
      <c r="G204" s="4"/>
      <c r="H204" s="4"/>
    </row>
    <row r="205" spans="2:8" ht="16" x14ac:dyDescent="0.2">
      <c r="B205" s="9"/>
      <c r="C205" s="10"/>
      <c r="D205" s="10"/>
      <c r="E205" s="14"/>
      <c r="F205" s="4"/>
      <c r="G205" s="4"/>
      <c r="H205" s="4"/>
    </row>
    <row r="206" spans="2:8" ht="16" x14ac:dyDescent="0.2">
      <c r="B206" s="9"/>
      <c r="C206" s="10"/>
      <c r="D206" s="10"/>
      <c r="E206" s="14"/>
      <c r="F206" s="4"/>
      <c r="G206" s="4"/>
      <c r="H206" s="4"/>
    </row>
    <row r="207" spans="2:8" ht="16" x14ac:dyDescent="0.2">
      <c r="B207" s="9"/>
      <c r="C207" s="10"/>
      <c r="D207" s="10"/>
      <c r="E207" s="14"/>
      <c r="F207" s="4"/>
      <c r="G207" s="4"/>
      <c r="H207" s="4"/>
    </row>
    <row r="208" spans="2:8" ht="16" x14ac:dyDescent="0.2">
      <c r="B208" s="9"/>
      <c r="C208" s="10"/>
      <c r="D208" s="10"/>
      <c r="E208" s="14"/>
      <c r="F208" s="4"/>
      <c r="G208" s="4"/>
      <c r="H208" s="4"/>
    </row>
    <row r="209" spans="2:8" ht="16" x14ac:dyDescent="0.2">
      <c r="B209" s="9"/>
      <c r="C209" s="10"/>
      <c r="D209" s="10"/>
      <c r="E209" s="14"/>
      <c r="F209" s="4"/>
      <c r="G209" s="4"/>
      <c r="H209" s="4"/>
    </row>
    <row r="210" spans="2:8" ht="16" x14ac:dyDescent="0.2">
      <c r="B210" s="9"/>
      <c r="C210" s="10"/>
      <c r="D210" s="10"/>
      <c r="E210" s="14"/>
      <c r="F210" s="4"/>
      <c r="G210" s="4"/>
      <c r="H210" s="4"/>
    </row>
    <row r="211" spans="2:8" ht="16" x14ac:dyDescent="0.2">
      <c r="B211" s="9"/>
      <c r="C211" s="10"/>
      <c r="D211" s="10"/>
      <c r="E211" s="14"/>
      <c r="F211" s="4"/>
      <c r="G211" s="4"/>
      <c r="H211" s="4"/>
    </row>
    <row r="212" spans="2:8" ht="16" x14ac:dyDescent="0.2">
      <c r="B212" s="9"/>
      <c r="C212" s="10"/>
      <c r="D212" s="10"/>
      <c r="E212" s="14"/>
      <c r="F212" s="4"/>
      <c r="G212" s="4"/>
      <c r="H212" s="4"/>
    </row>
    <row r="213" spans="2:8" ht="16" x14ac:dyDescent="0.2">
      <c r="B213" s="9"/>
      <c r="C213" s="10"/>
      <c r="D213" s="10"/>
      <c r="E213" s="14"/>
      <c r="F213" s="4"/>
      <c r="G213" s="4"/>
      <c r="H213" s="4"/>
    </row>
    <row r="214" spans="2:8" ht="16" x14ac:dyDescent="0.2">
      <c r="B214" s="9"/>
      <c r="C214" s="10"/>
      <c r="D214" s="10"/>
      <c r="E214" s="14"/>
      <c r="F214" s="4"/>
      <c r="G214" s="4"/>
      <c r="H214" s="4"/>
    </row>
    <row r="215" spans="2:8" ht="16" x14ac:dyDescent="0.2">
      <c r="B215" s="9"/>
      <c r="C215" s="10"/>
      <c r="D215" s="10"/>
      <c r="E215" s="14"/>
      <c r="F215" s="4"/>
      <c r="G215" s="4"/>
      <c r="H215" s="4"/>
    </row>
    <row r="216" spans="2:8" ht="16" x14ac:dyDescent="0.2">
      <c r="B216" s="9"/>
      <c r="C216" s="10"/>
      <c r="D216" s="10"/>
      <c r="E216" s="14"/>
      <c r="F216" s="4"/>
      <c r="G216" s="4"/>
      <c r="H216" s="4"/>
    </row>
    <row r="217" spans="2:8" ht="16" x14ac:dyDescent="0.2">
      <c r="B217" s="9"/>
      <c r="C217" s="10"/>
      <c r="D217" s="10"/>
      <c r="E217" s="14"/>
      <c r="F217" s="4"/>
      <c r="G217" s="4"/>
      <c r="H217" s="4"/>
    </row>
    <row r="218" spans="2:8" ht="16" x14ac:dyDescent="0.2">
      <c r="B218" s="9"/>
      <c r="C218" s="10"/>
      <c r="D218" s="10"/>
      <c r="E218" s="14"/>
      <c r="F218" s="4"/>
      <c r="G218" s="4"/>
      <c r="H218" s="4"/>
    </row>
    <row r="219" spans="2:8" ht="16" x14ac:dyDescent="0.2">
      <c r="B219" s="9"/>
      <c r="C219" s="10"/>
      <c r="D219" s="10"/>
      <c r="E219" s="14"/>
      <c r="F219" s="4"/>
      <c r="G219" s="4"/>
      <c r="H219" s="4"/>
    </row>
    <row r="220" spans="2:8" ht="16" x14ac:dyDescent="0.2">
      <c r="B220" s="9"/>
      <c r="C220" s="10"/>
      <c r="D220" s="10"/>
      <c r="E220" s="14"/>
      <c r="F220" s="4"/>
      <c r="G220" s="4"/>
      <c r="H220" s="4"/>
    </row>
    <row r="221" spans="2:8" ht="16" x14ac:dyDescent="0.2">
      <c r="B221" s="9"/>
      <c r="C221" s="10"/>
      <c r="D221" s="10"/>
      <c r="E221" s="14"/>
      <c r="F221" s="4"/>
      <c r="G221" s="4"/>
      <c r="H221" s="4"/>
    </row>
    <row r="222" spans="2:8" ht="16" x14ac:dyDescent="0.2">
      <c r="B222" s="9"/>
      <c r="C222" s="10"/>
      <c r="D222" s="10"/>
      <c r="E222" s="14"/>
      <c r="F222" s="4"/>
      <c r="G222" s="4"/>
      <c r="H222" s="4"/>
    </row>
    <row r="223" spans="2:8" ht="16" x14ac:dyDescent="0.2">
      <c r="B223" s="9"/>
      <c r="C223" s="10"/>
      <c r="D223" s="10"/>
      <c r="E223" s="14"/>
      <c r="F223" s="4"/>
      <c r="G223" s="4"/>
      <c r="H223" s="4"/>
    </row>
    <row r="224" spans="2:8" ht="16" x14ac:dyDescent="0.2">
      <c r="B224" s="9"/>
      <c r="C224" s="10"/>
      <c r="D224" s="10"/>
      <c r="E224" s="14"/>
      <c r="F224" s="4"/>
      <c r="G224" s="4"/>
      <c r="H224" s="4"/>
    </row>
    <row r="225" spans="2:8" ht="16" x14ac:dyDescent="0.2">
      <c r="B225" s="9"/>
      <c r="C225" s="10"/>
      <c r="D225" s="10"/>
      <c r="E225" s="14"/>
      <c r="F225" s="4"/>
      <c r="G225" s="4"/>
      <c r="H225" s="4"/>
    </row>
    <row r="226" spans="2:8" ht="16" x14ac:dyDescent="0.2">
      <c r="B226" s="9"/>
      <c r="C226" s="10"/>
      <c r="D226" s="10"/>
      <c r="E226" s="14"/>
      <c r="F226" s="4"/>
      <c r="G226" s="4"/>
      <c r="H226" s="4"/>
    </row>
    <row r="227" spans="2:8" ht="16" x14ac:dyDescent="0.2">
      <c r="B227" s="9"/>
      <c r="C227" s="10"/>
      <c r="D227" s="10"/>
      <c r="E227" s="14"/>
      <c r="F227" s="4"/>
      <c r="G227" s="4"/>
      <c r="H227" s="4"/>
    </row>
    <row r="228" spans="2:8" ht="16" x14ac:dyDescent="0.2">
      <c r="B228" s="9"/>
      <c r="C228" s="10"/>
      <c r="D228" s="10"/>
      <c r="E228" s="14"/>
      <c r="F228" s="4"/>
      <c r="G228" s="4"/>
      <c r="H228" s="4"/>
    </row>
    <row r="229" spans="2:8" ht="16" x14ac:dyDescent="0.2">
      <c r="B229" s="9"/>
      <c r="C229" s="10"/>
      <c r="D229" s="10"/>
      <c r="E229" s="14"/>
      <c r="F229" s="4"/>
      <c r="G229" s="4"/>
      <c r="H229" s="4"/>
    </row>
    <row r="230" spans="2:8" ht="16" x14ac:dyDescent="0.2">
      <c r="B230" s="9"/>
      <c r="C230" s="10"/>
      <c r="D230" s="10"/>
      <c r="E230" s="14"/>
      <c r="F230" s="4"/>
      <c r="G230" s="4"/>
      <c r="H230" s="4"/>
    </row>
    <row r="231" spans="2:8" ht="16" x14ac:dyDescent="0.2">
      <c r="B231" s="9"/>
      <c r="C231" s="10"/>
      <c r="D231" s="10"/>
      <c r="E231" s="14"/>
      <c r="F231" s="4"/>
      <c r="G231" s="4"/>
      <c r="H231" s="4"/>
    </row>
    <row r="232" spans="2:8" ht="16" x14ac:dyDescent="0.2">
      <c r="B232" s="9"/>
      <c r="C232" s="10"/>
      <c r="D232" s="10"/>
      <c r="E232" s="14"/>
      <c r="F232" s="4"/>
      <c r="G232" s="4"/>
      <c r="H232" s="4"/>
    </row>
    <row r="233" spans="2:8" ht="16" x14ac:dyDescent="0.2">
      <c r="B233" s="9"/>
      <c r="C233" s="10"/>
      <c r="D233" s="10"/>
      <c r="E233" s="14"/>
      <c r="F233" s="4"/>
      <c r="G233" s="4"/>
      <c r="H233" s="4"/>
    </row>
    <row r="234" spans="2:8" ht="16" x14ac:dyDescent="0.2">
      <c r="B234" s="9"/>
      <c r="C234" s="10"/>
      <c r="D234" s="10"/>
      <c r="E234" s="14"/>
      <c r="F234" s="4"/>
      <c r="G234" s="4"/>
      <c r="H234" s="4"/>
    </row>
    <row r="235" spans="2:8" ht="16" x14ac:dyDescent="0.2">
      <c r="B235" s="9"/>
      <c r="C235" s="10"/>
      <c r="D235" s="10"/>
      <c r="E235" s="14"/>
      <c r="F235" s="4"/>
      <c r="G235" s="4"/>
      <c r="H235" s="4"/>
    </row>
    <row r="236" spans="2:8" ht="16" x14ac:dyDescent="0.2">
      <c r="B236" s="9"/>
      <c r="C236" s="10"/>
      <c r="D236" s="10"/>
      <c r="E236" s="14"/>
      <c r="F236" s="4"/>
      <c r="G236" s="4"/>
      <c r="H236" s="4"/>
    </row>
    <row r="237" spans="2:8" ht="16" x14ac:dyDescent="0.2">
      <c r="B237" s="9"/>
      <c r="C237" s="10"/>
      <c r="D237" s="10"/>
      <c r="E237" s="14"/>
      <c r="F237" s="4"/>
      <c r="G237" s="4"/>
      <c r="H237" s="4"/>
    </row>
    <row r="238" spans="2:8" ht="16" x14ac:dyDescent="0.2">
      <c r="B238" s="9"/>
      <c r="C238" s="10"/>
      <c r="D238" s="10"/>
      <c r="E238" s="14"/>
      <c r="F238" s="4"/>
      <c r="G238" s="4"/>
      <c r="H238" s="4"/>
    </row>
    <row r="239" spans="2:8" ht="16" x14ac:dyDescent="0.2">
      <c r="B239" s="9"/>
      <c r="C239" s="10"/>
      <c r="D239" s="10"/>
      <c r="E239" s="14"/>
      <c r="F239" s="4"/>
      <c r="G239" s="4"/>
      <c r="H239" s="4"/>
    </row>
    <row r="240" spans="2:8" ht="16" x14ac:dyDescent="0.2">
      <c r="B240" s="9"/>
      <c r="C240" s="10"/>
      <c r="D240" s="10"/>
      <c r="E240" s="14"/>
      <c r="F240" s="4"/>
      <c r="G240" s="4"/>
      <c r="H240" s="4"/>
    </row>
    <row r="241" spans="2:8" ht="16" x14ac:dyDescent="0.2">
      <c r="B241" s="9"/>
      <c r="C241" s="10"/>
      <c r="D241" s="10"/>
      <c r="E241" s="14"/>
      <c r="F241" s="4"/>
      <c r="G241" s="4"/>
      <c r="H241" s="4"/>
    </row>
    <row r="242" spans="2:8" ht="16" x14ac:dyDescent="0.2">
      <c r="B242" s="9"/>
      <c r="C242" s="10"/>
      <c r="D242" s="10"/>
      <c r="E242" s="14"/>
      <c r="F242" s="4"/>
      <c r="G242" s="4"/>
      <c r="H242" s="4"/>
    </row>
    <row r="243" spans="2:8" ht="16" x14ac:dyDescent="0.2">
      <c r="B243" s="9"/>
      <c r="C243" s="10"/>
      <c r="D243" s="10"/>
      <c r="E243" s="14"/>
      <c r="F243" s="4"/>
      <c r="G243" s="4"/>
      <c r="H243" s="4"/>
    </row>
    <row r="244" spans="2:8" ht="16" x14ac:dyDescent="0.2">
      <c r="B244" s="9"/>
      <c r="C244" s="10"/>
      <c r="D244" s="10"/>
      <c r="E244" s="14"/>
      <c r="F244" s="4"/>
      <c r="G244" s="4"/>
      <c r="H244" s="4"/>
    </row>
    <row r="245" spans="2:8" ht="16" x14ac:dyDescent="0.2">
      <c r="B245" s="9"/>
      <c r="C245" s="10"/>
      <c r="D245" s="10"/>
      <c r="E245" s="14"/>
      <c r="F245" s="4"/>
      <c r="G245" s="4"/>
      <c r="H245" s="4"/>
    </row>
    <row r="246" spans="2:8" ht="16" x14ac:dyDescent="0.2">
      <c r="B246" s="9"/>
      <c r="C246" s="10"/>
      <c r="D246" s="10"/>
      <c r="E246" s="14"/>
      <c r="F246" s="4"/>
      <c r="G246" s="4"/>
      <c r="H246" s="4"/>
    </row>
    <row r="247" spans="2:8" ht="16" x14ac:dyDescent="0.2">
      <c r="B247" s="9"/>
      <c r="C247" s="10"/>
      <c r="D247" s="10"/>
      <c r="E247" s="14"/>
      <c r="F247" s="4"/>
      <c r="G247" s="4"/>
      <c r="H247" s="4"/>
    </row>
    <row r="248" spans="2:8" ht="16" x14ac:dyDescent="0.2">
      <c r="B248" s="9"/>
      <c r="C248" s="10"/>
      <c r="D248" s="10"/>
      <c r="E248" s="14"/>
      <c r="F248" s="4"/>
      <c r="G248" s="4"/>
      <c r="H248" s="4"/>
    </row>
    <row r="249" spans="2:8" ht="16" x14ac:dyDescent="0.2">
      <c r="B249" s="9"/>
      <c r="C249" s="10"/>
      <c r="D249" s="10"/>
      <c r="E249" s="14"/>
      <c r="F249" s="4"/>
      <c r="G249" s="4"/>
      <c r="H249" s="4"/>
    </row>
    <row r="250" spans="2:8" ht="16" x14ac:dyDescent="0.2">
      <c r="B250" s="9"/>
      <c r="C250" s="10"/>
      <c r="D250" s="10"/>
      <c r="E250" s="14"/>
      <c r="F250" s="4"/>
      <c r="G250" s="4"/>
      <c r="H250" s="4"/>
    </row>
    <row r="251" spans="2:8" ht="16" x14ac:dyDescent="0.2">
      <c r="B251" s="9"/>
      <c r="C251" s="10"/>
      <c r="D251" s="10"/>
      <c r="E251" s="14"/>
      <c r="F251" s="4"/>
      <c r="G251" s="4"/>
      <c r="H251" s="4"/>
    </row>
    <row r="252" spans="2:8" ht="16" x14ac:dyDescent="0.2">
      <c r="B252" s="9"/>
      <c r="C252" s="10"/>
      <c r="D252" s="10"/>
      <c r="E252" s="14"/>
      <c r="F252" s="4"/>
      <c r="G252" s="4"/>
      <c r="H252" s="4"/>
    </row>
    <row r="253" spans="2:8" ht="16" x14ac:dyDescent="0.2">
      <c r="B253" s="9"/>
      <c r="C253" s="10"/>
      <c r="D253" s="10"/>
      <c r="E253" s="14"/>
      <c r="F253" s="4"/>
      <c r="G253" s="4"/>
      <c r="H253" s="4"/>
    </row>
    <row r="254" spans="2:8" ht="16" x14ac:dyDescent="0.2">
      <c r="B254" s="9"/>
      <c r="C254" s="10"/>
      <c r="D254" s="10"/>
      <c r="E254" s="14"/>
      <c r="F254" s="4"/>
      <c r="G254" s="4"/>
      <c r="H254" s="4"/>
    </row>
    <row r="255" spans="2:8" ht="16" x14ac:dyDescent="0.2">
      <c r="B255" s="9"/>
      <c r="C255" s="10"/>
      <c r="D255" s="10"/>
      <c r="E255" s="14"/>
      <c r="F255" s="4"/>
      <c r="G255" s="4"/>
      <c r="H255" s="4"/>
    </row>
    <row r="256" spans="2:8" ht="16" x14ac:dyDescent="0.2">
      <c r="B256" s="9"/>
      <c r="C256" s="10"/>
      <c r="D256" s="10"/>
      <c r="E256" s="14"/>
      <c r="F256" s="4"/>
      <c r="G256" s="4"/>
      <c r="H256" s="4"/>
    </row>
    <row r="257" spans="2:8" ht="16" x14ac:dyDescent="0.2">
      <c r="B257" s="9"/>
      <c r="C257" s="10"/>
      <c r="D257" s="10"/>
      <c r="E257" s="14"/>
      <c r="F257" s="4"/>
      <c r="G257" s="4"/>
      <c r="H257" s="4"/>
    </row>
    <row r="258" spans="2:8" ht="16" x14ac:dyDescent="0.2">
      <c r="B258" s="9"/>
      <c r="C258" s="10"/>
      <c r="D258" s="10"/>
      <c r="E258" s="14"/>
      <c r="F258" s="4"/>
      <c r="G258" s="4"/>
      <c r="H258" s="4"/>
    </row>
    <row r="259" spans="2:8" ht="16" x14ac:dyDescent="0.2">
      <c r="B259" s="9"/>
      <c r="C259" s="10"/>
      <c r="D259" s="10"/>
      <c r="E259" s="14"/>
      <c r="F259" s="4"/>
      <c r="G259" s="4"/>
      <c r="H259" s="4"/>
    </row>
    <row r="260" spans="2:8" ht="16" x14ac:dyDescent="0.2">
      <c r="B260" s="9"/>
      <c r="C260" s="10"/>
      <c r="D260" s="10"/>
      <c r="E260" s="14"/>
      <c r="F260" s="4"/>
      <c r="G260" s="4"/>
      <c r="H260" s="4"/>
    </row>
    <row r="261" spans="2:8" ht="16" x14ac:dyDescent="0.2">
      <c r="B261" s="9"/>
      <c r="C261" s="10"/>
      <c r="D261" s="10"/>
      <c r="E261" s="14"/>
      <c r="F261" s="4"/>
      <c r="G261" s="4"/>
      <c r="H261" s="4"/>
    </row>
    <row r="262" spans="2:8" ht="16" x14ac:dyDescent="0.2">
      <c r="B262" s="9"/>
      <c r="C262" s="10"/>
      <c r="D262" s="10"/>
      <c r="E262" s="14"/>
      <c r="F262" s="4"/>
      <c r="G262" s="4"/>
      <c r="H262" s="4"/>
    </row>
    <row r="263" spans="2:8" ht="16" x14ac:dyDescent="0.2">
      <c r="B263" s="9"/>
      <c r="C263" s="10"/>
      <c r="D263" s="10"/>
      <c r="E263" s="14"/>
      <c r="F263" s="4"/>
      <c r="G263" s="4"/>
      <c r="H263" s="4"/>
    </row>
    <row r="264" spans="2:8" ht="16" x14ac:dyDescent="0.2">
      <c r="B264" s="9"/>
      <c r="C264" s="10"/>
      <c r="D264" s="10"/>
      <c r="E264" s="14"/>
      <c r="F264" s="4"/>
      <c r="G264" s="4"/>
      <c r="H264" s="4"/>
    </row>
    <row r="265" spans="2:8" ht="16" x14ac:dyDescent="0.2">
      <c r="B265" s="9"/>
      <c r="C265" s="10"/>
      <c r="D265" s="10"/>
      <c r="E265" s="14"/>
      <c r="F265" s="4"/>
      <c r="G265" s="4"/>
      <c r="H265" s="4"/>
    </row>
    <row r="266" spans="2:8" ht="16" x14ac:dyDescent="0.2">
      <c r="B266" s="9"/>
      <c r="C266" s="10"/>
      <c r="D266" s="10"/>
      <c r="E266" s="14"/>
      <c r="F266" s="4"/>
      <c r="G266" s="4"/>
      <c r="H266" s="4"/>
    </row>
    <row r="267" spans="2:8" ht="16" x14ac:dyDescent="0.2">
      <c r="B267" s="9"/>
      <c r="C267" s="10"/>
      <c r="D267" s="10"/>
      <c r="E267" s="14"/>
      <c r="F267" s="4"/>
      <c r="G267" s="4"/>
      <c r="H267" s="4"/>
    </row>
    <row r="268" spans="2:8" ht="16" x14ac:dyDescent="0.2">
      <c r="B268" s="9"/>
      <c r="C268" s="10"/>
      <c r="D268" s="10"/>
      <c r="E268" s="14"/>
      <c r="F268" s="4"/>
      <c r="G268" s="4"/>
      <c r="H268" s="4"/>
    </row>
    <row r="269" spans="2:8" ht="16" x14ac:dyDescent="0.2">
      <c r="B269" s="9"/>
      <c r="C269" s="10"/>
      <c r="D269" s="10"/>
      <c r="E269" s="14"/>
      <c r="F269" s="4"/>
      <c r="G269" s="4"/>
      <c r="H269" s="4"/>
    </row>
    <row r="270" spans="2:8" ht="16" x14ac:dyDescent="0.2">
      <c r="B270" s="9"/>
      <c r="C270" s="10"/>
      <c r="D270" s="10"/>
      <c r="E270" s="14"/>
      <c r="F270" s="4"/>
      <c r="G270" s="4"/>
      <c r="H270" s="4"/>
    </row>
    <row r="271" spans="2:8" ht="16" x14ac:dyDescent="0.2">
      <c r="B271" s="9"/>
      <c r="C271" s="10"/>
      <c r="D271" s="10"/>
      <c r="E271" s="14"/>
      <c r="F271" s="4"/>
      <c r="G271" s="4"/>
      <c r="H271" s="4"/>
    </row>
    <row r="272" spans="2:8" ht="16" x14ac:dyDescent="0.2">
      <c r="B272" s="9"/>
      <c r="C272" s="10"/>
      <c r="D272" s="10"/>
      <c r="E272" s="14"/>
      <c r="F272" s="4"/>
      <c r="G272" s="4"/>
      <c r="H272" s="4"/>
    </row>
    <row r="273" spans="2:8" ht="16" x14ac:dyDescent="0.2">
      <c r="B273" s="9"/>
      <c r="C273" s="10"/>
      <c r="D273" s="10"/>
      <c r="E273" s="14"/>
      <c r="F273" s="4"/>
      <c r="G273" s="4"/>
      <c r="H273" s="4"/>
    </row>
    <row r="274" spans="2:8" ht="16" x14ac:dyDescent="0.2">
      <c r="B274" s="9"/>
      <c r="C274" s="10"/>
      <c r="D274" s="10"/>
      <c r="E274" s="14"/>
      <c r="F274" s="4"/>
      <c r="G274" s="4"/>
      <c r="H274" s="4"/>
    </row>
    <row r="275" spans="2:8" ht="16" x14ac:dyDescent="0.2">
      <c r="B275" s="9"/>
      <c r="C275" s="10"/>
      <c r="D275" s="10"/>
      <c r="E275" s="14"/>
      <c r="F275" s="4"/>
      <c r="G275" s="4"/>
      <c r="H275" s="4"/>
    </row>
    <row r="276" spans="2:8" ht="16" x14ac:dyDescent="0.2">
      <c r="B276" s="9"/>
      <c r="C276" s="10"/>
      <c r="D276" s="10"/>
      <c r="E276" s="14"/>
      <c r="F276" s="4"/>
      <c r="G276" s="4"/>
      <c r="H276" s="4"/>
    </row>
    <row r="277" spans="2:8" ht="16" x14ac:dyDescent="0.2">
      <c r="B277" s="9"/>
      <c r="C277" s="10"/>
      <c r="D277" s="10"/>
      <c r="E277" s="14"/>
      <c r="F277" s="4"/>
      <c r="G277" s="4"/>
      <c r="H277" s="4"/>
    </row>
    <row r="278" spans="2:8" ht="16" x14ac:dyDescent="0.2">
      <c r="B278" s="9"/>
      <c r="C278" s="10"/>
      <c r="D278" s="10"/>
      <c r="E278" s="14"/>
      <c r="F278" s="4"/>
      <c r="G278" s="4"/>
      <c r="H278" s="4"/>
    </row>
    <row r="279" spans="2:8" ht="16" x14ac:dyDescent="0.2">
      <c r="B279" s="9"/>
      <c r="C279" s="10"/>
      <c r="D279" s="10"/>
      <c r="E279" s="14"/>
      <c r="F279" s="4"/>
      <c r="G279" s="4"/>
      <c r="H279" s="4"/>
    </row>
    <row r="280" spans="2:8" ht="16" x14ac:dyDescent="0.2">
      <c r="B280" s="9"/>
      <c r="C280" s="10"/>
      <c r="D280" s="10"/>
      <c r="E280" s="14"/>
      <c r="F280" s="4"/>
      <c r="G280" s="4"/>
      <c r="H280" s="4"/>
    </row>
    <row r="281" spans="2:8" ht="16" x14ac:dyDescent="0.2">
      <c r="B281" s="9"/>
      <c r="C281" s="10"/>
      <c r="D281" s="10"/>
      <c r="E281" s="14"/>
      <c r="F281" s="4"/>
      <c r="G281" s="4"/>
      <c r="H281" s="4"/>
    </row>
    <row r="282" spans="2:8" ht="16" x14ac:dyDescent="0.2">
      <c r="B282" s="9"/>
      <c r="C282" s="10"/>
      <c r="D282" s="10"/>
      <c r="E282" s="14"/>
      <c r="F282" s="4"/>
      <c r="G282" s="4"/>
      <c r="H282" s="4"/>
    </row>
    <row r="283" spans="2:8" ht="16" x14ac:dyDescent="0.2">
      <c r="B283" s="9"/>
      <c r="C283" s="10"/>
      <c r="D283" s="10"/>
      <c r="E283" s="14"/>
      <c r="F283" s="4"/>
      <c r="G283" s="4"/>
      <c r="H283" s="4"/>
    </row>
    <row r="284" spans="2:8" ht="16" x14ac:dyDescent="0.2">
      <c r="B284" s="9"/>
      <c r="C284" s="10"/>
      <c r="D284" s="10"/>
      <c r="E284" s="14"/>
      <c r="F284" s="4"/>
      <c r="G284" s="4"/>
      <c r="H284" s="4"/>
    </row>
    <row r="285" spans="2:8" ht="16" x14ac:dyDescent="0.2">
      <c r="B285" s="9"/>
      <c r="C285" s="10"/>
      <c r="D285" s="10"/>
      <c r="E285" s="14"/>
      <c r="F285" s="4"/>
      <c r="G285" s="4"/>
      <c r="H285" s="4"/>
    </row>
    <row r="286" spans="2:8" ht="16" x14ac:dyDescent="0.2">
      <c r="B286" s="9"/>
      <c r="C286" s="10"/>
      <c r="D286" s="10"/>
      <c r="E286" s="14"/>
      <c r="F286" s="4"/>
      <c r="G286" s="4"/>
      <c r="H286" s="4"/>
    </row>
    <row r="287" spans="2:8" ht="16" x14ac:dyDescent="0.2">
      <c r="B287" s="9"/>
      <c r="C287" s="10"/>
      <c r="D287" s="10"/>
      <c r="E287" s="14"/>
      <c r="F287" s="4"/>
      <c r="G287" s="4"/>
      <c r="H287" s="4"/>
    </row>
    <row r="288" spans="2:8" ht="16" x14ac:dyDescent="0.2">
      <c r="B288" s="9"/>
      <c r="C288" s="10"/>
      <c r="D288" s="10"/>
      <c r="E288" s="14"/>
      <c r="F288" s="4"/>
      <c r="G288" s="4"/>
      <c r="H288" s="4"/>
    </row>
    <row r="289" spans="2:8" ht="16" x14ac:dyDescent="0.2">
      <c r="B289" s="9"/>
      <c r="C289" s="10"/>
      <c r="D289" s="10"/>
      <c r="E289" s="14"/>
      <c r="F289" s="4"/>
      <c r="G289" s="4"/>
      <c r="H289" s="4"/>
    </row>
    <row r="290" spans="2:8" ht="16" x14ac:dyDescent="0.2">
      <c r="B290" s="9"/>
      <c r="C290" s="10"/>
      <c r="D290" s="10"/>
      <c r="E290" s="14"/>
      <c r="F290" s="4"/>
      <c r="G290" s="4"/>
      <c r="H290" s="4"/>
    </row>
    <row r="291" spans="2:8" ht="16" x14ac:dyDescent="0.2">
      <c r="B291" s="9"/>
      <c r="C291" s="10"/>
      <c r="D291" s="10"/>
      <c r="E291" s="14"/>
      <c r="F291" s="4"/>
      <c r="G291" s="4"/>
      <c r="H291" s="4"/>
    </row>
    <row r="292" spans="2:8" ht="16" x14ac:dyDescent="0.2">
      <c r="B292" s="9"/>
      <c r="C292" s="10"/>
      <c r="D292" s="10"/>
      <c r="E292" s="14"/>
      <c r="F292" s="4"/>
      <c r="G292" s="4"/>
      <c r="H292" s="4"/>
    </row>
    <row r="293" spans="2:8" ht="16" x14ac:dyDescent="0.2">
      <c r="B293" s="9"/>
      <c r="C293" s="10"/>
      <c r="D293" s="10"/>
      <c r="E293" s="14"/>
      <c r="F293" s="4"/>
      <c r="G293" s="4"/>
      <c r="H293" s="4"/>
    </row>
    <row r="294" spans="2:8" ht="16" x14ac:dyDescent="0.2">
      <c r="B294" s="9"/>
      <c r="C294" s="10"/>
      <c r="D294" s="10"/>
      <c r="E294" s="14"/>
      <c r="F294" s="4"/>
      <c r="G294" s="4"/>
      <c r="H294" s="4"/>
    </row>
    <row r="295" spans="2:8" ht="16" x14ac:dyDescent="0.2">
      <c r="B295" s="9"/>
      <c r="C295" s="10"/>
      <c r="D295" s="10"/>
      <c r="E295" s="14"/>
      <c r="F295" s="4"/>
      <c r="G295" s="4"/>
      <c r="H295" s="4"/>
    </row>
    <row r="296" spans="2:8" ht="16" x14ac:dyDescent="0.2">
      <c r="B296" s="9"/>
      <c r="C296" s="10"/>
      <c r="D296" s="10"/>
      <c r="E296" s="14"/>
      <c r="F296" s="4"/>
      <c r="G296" s="4"/>
      <c r="H296" s="4"/>
    </row>
    <row r="297" spans="2:8" ht="16" x14ac:dyDescent="0.2">
      <c r="B297" s="9"/>
      <c r="C297" s="10"/>
      <c r="D297" s="10"/>
      <c r="E297" s="14"/>
      <c r="F297" s="4"/>
      <c r="G297" s="4"/>
      <c r="H297" s="4"/>
    </row>
    <row r="298" spans="2:8" ht="16" x14ac:dyDescent="0.2">
      <c r="B298" s="9"/>
      <c r="C298" s="10"/>
      <c r="D298" s="10"/>
      <c r="E298" s="14"/>
      <c r="F298" s="4"/>
      <c r="G298" s="4"/>
      <c r="H298" s="4"/>
    </row>
    <row r="299" spans="2:8" ht="16" x14ac:dyDescent="0.2">
      <c r="B299" s="9"/>
      <c r="C299" s="10"/>
      <c r="D299" s="10"/>
      <c r="E299" s="14"/>
      <c r="F299" s="4"/>
      <c r="G299" s="4"/>
      <c r="H299" s="4"/>
    </row>
    <row r="300" spans="2:8" ht="16" x14ac:dyDescent="0.2">
      <c r="B300" s="9"/>
      <c r="C300" s="10"/>
      <c r="D300" s="10"/>
      <c r="E300" s="14"/>
      <c r="F300" s="4"/>
      <c r="G300" s="4"/>
      <c r="H300" s="4"/>
    </row>
    <row r="301" spans="2:8" ht="16" x14ac:dyDescent="0.2">
      <c r="B301" s="9"/>
      <c r="C301" s="10"/>
      <c r="D301" s="10"/>
      <c r="E301" s="14"/>
      <c r="F301" s="4"/>
      <c r="G301" s="4"/>
      <c r="H301" s="4"/>
    </row>
    <row r="302" spans="2:8" ht="16" x14ac:dyDescent="0.2">
      <c r="B302" s="9"/>
      <c r="C302" s="10"/>
      <c r="D302" s="10"/>
      <c r="E302" s="14"/>
      <c r="F302" s="4"/>
      <c r="G302" s="4"/>
      <c r="H302" s="4"/>
    </row>
    <row r="303" spans="2:8" ht="16" x14ac:dyDescent="0.2">
      <c r="B303" s="9"/>
      <c r="C303" s="10"/>
      <c r="D303" s="10"/>
      <c r="E303" s="14"/>
      <c r="F303" s="4"/>
      <c r="G303" s="4"/>
      <c r="H303" s="4"/>
    </row>
    <row r="304" spans="2:8" ht="16" x14ac:dyDescent="0.2">
      <c r="B304" s="9"/>
      <c r="C304" s="10"/>
      <c r="D304" s="10"/>
      <c r="E304" s="14"/>
      <c r="F304" s="4"/>
      <c r="G304" s="4"/>
      <c r="H304" s="4"/>
    </row>
    <row r="305" spans="2:8" ht="16" x14ac:dyDescent="0.2">
      <c r="B305" s="9"/>
      <c r="C305" s="10"/>
      <c r="D305" s="10"/>
      <c r="E305" s="14"/>
      <c r="F305" s="4"/>
      <c r="G305" s="4"/>
      <c r="H305" s="4"/>
    </row>
    <row r="306" spans="2:8" ht="16" x14ac:dyDescent="0.2">
      <c r="B306" s="9"/>
      <c r="C306" s="10"/>
      <c r="D306" s="10"/>
      <c r="E306" s="14"/>
      <c r="F306" s="4"/>
      <c r="G306" s="4"/>
      <c r="H306" s="4"/>
    </row>
    <row r="307" spans="2:8" ht="16" x14ac:dyDescent="0.2">
      <c r="B307" s="9"/>
      <c r="C307" s="10"/>
      <c r="D307" s="10"/>
      <c r="E307" s="14"/>
      <c r="F307" s="4"/>
      <c r="G307" s="4"/>
      <c r="H307" s="4"/>
    </row>
    <row r="308" spans="2:8" ht="16" x14ac:dyDescent="0.2">
      <c r="B308" s="9"/>
      <c r="C308" s="10"/>
      <c r="D308" s="10"/>
      <c r="E308" s="14"/>
      <c r="F308" s="4"/>
      <c r="G308" s="4"/>
      <c r="H308" s="4"/>
    </row>
    <row r="309" spans="2:8" ht="16" x14ac:dyDescent="0.2">
      <c r="B309" s="9"/>
      <c r="C309" s="10"/>
      <c r="D309" s="10"/>
      <c r="E309" s="14"/>
      <c r="F309" s="4"/>
      <c r="G309" s="4"/>
      <c r="H309" s="4"/>
    </row>
    <row r="310" spans="2:8" ht="16" x14ac:dyDescent="0.2">
      <c r="B310" s="9"/>
      <c r="C310" s="10"/>
      <c r="D310" s="10"/>
      <c r="E310" s="14"/>
      <c r="F310" s="4"/>
      <c r="G310" s="4"/>
      <c r="H310" s="4"/>
    </row>
    <row r="311" spans="2:8" ht="16" x14ac:dyDescent="0.2">
      <c r="B311" s="9"/>
      <c r="C311" s="10"/>
      <c r="D311" s="10"/>
      <c r="E311" s="14"/>
      <c r="F311" s="4"/>
      <c r="G311" s="4"/>
      <c r="H311" s="4"/>
    </row>
    <row r="312" spans="2:8" ht="16" x14ac:dyDescent="0.2">
      <c r="B312" s="9"/>
      <c r="C312" s="10"/>
      <c r="D312" s="10"/>
      <c r="E312" s="14"/>
      <c r="F312" s="4"/>
      <c r="G312" s="4"/>
      <c r="H312" s="4"/>
    </row>
    <row r="313" spans="2:8" ht="16" x14ac:dyDescent="0.2">
      <c r="B313" s="9"/>
      <c r="C313" s="10"/>
      <c r="D313" s="10"/>
      <c r="E313" s="14"/>
      <c r="F313" s="4"/>
      <c r="G313" s="4"/>
      <c r="H313" s="4"/>
    </row>
    <row r="314" spans="2:8" ht="16" x14ac:dyDescent="0.2">
      <c r="B314" s="9"/>
      <c r="C314" s="10"/>
      <c r="D314" s="10"/>
      <c r="E314" s="14"/>
      <c r="F314" s="4"/>
      <c r="G314" s="4"/>
      <c r="H314" s="4"/>
    </row>
    <row r="315" spans="2:8" ht="16" x14ac:dyDescent="0.2">
      <c r="B315" s="9"/>
      <c r="C315" s="10"/>
      <c r="D315" s="10"/>
      <c r="E315" s="14"/>
      <c r="F315" s="4"/>
      <c r="G315" s="4"/>
      <c r="H315" s="4"/>
    </row>
    <row r="316" spans="2:8" ht="16" x14ac:dyDescent="0.2">
      <c r="B316" s="9"/>
      <c r="C316" s="10"/>
      <c r="D316" s="10"/>
      <c r="E316" s="14"/>
      <c r="F316" s="4"/>
      <c r="G316" s="4"/>
      <c r="H316" s="4"/>
    </row>
    <row r="317" spans="2:8" ht="16" x14ac:dyDescent="0.2">
      <c r="B317" s="9"/>
      <c r="C317" s="10"/>
      <c r="D317" s="10"/>
      <c r="E317" s="14"/>
      <c r="F317" s="4"/>
      <c r="G317" s="4"/>
      <c r="H317" s="4"/>
    </row>
    <row r="318" spans="2:8" ht="16" x14ac:dyDescent="0.2">
      <c r="B318" s="9"/>
      <c r="C318" s="10"/>
      <c r="D318" s="10"/>
      <c r="E318" s="14"/>
      <c r="F318" s="4"/>
      <c r="G318" s="4"/>
      <c r="H318" s="4"/>
    </row>
    <row r="319" spans="2:8" ht="16" x14ac:dyDescent="0.2">
      <c r="B319" s="9"/>
      <c r="C319" s="10"/>
      <c r="D319" s="10"/>
      <c r="E319" s="14"/>
      <c r="F319" s="4"/>
      <c r="G319" s="4"/>
      <c r="H319" s="4"/>
    </row>
    <row r="320" spans="2:8" ht="16" x14ac:dyDescent="0.2">
      <c r="B320" s="9"/>
      <c r="C320" s="10"/>
      <c r="D320" s="10"/>
      <c r="E320" s="14"/>
      <c r="F320" s="4"/>
      <c r="G320" s="4"/>
      <c r="H320" s="4"/>
    </row>
    <row r="321" spans="2:18" ht="16" x14ac:dyDescent="0.2">
      <c r="B321" s="9"/>
      <c r="C321" s="10"/>
      <c r="D321" s="10"/>
      <c r="E321" s="14"/>
      <c r="F321" s="4"/>
      <c r="G321" s="4"/>
      <c r="H321" s="4"/>
    </row>
    <row r="322" spans="2:18" ht="16" x14ac:dyDescent="0.2">
      <c r="B322" s="9"/>
      <c r="C322" s="10"/>
      <c r="D322" s="10"/>
      <c r="E322" s="14"/>
      <c r="F322" s="3"/>
      <c r="G322" s="4"/>
      <c r="H322" s="5"/>
    </row>
    <row r="323" spans="2:18" ht="16" x14ac:dyDescent="0.2">
      <c r="B323" s="9"/>
      <c r="C323" s="10"/>
      <c r="D323" s="10"/>
      <c r="E323" s="14"/>
      <c r="F323" s="3"/>
      <c r="G323" s="4"/>
      <c r="H323" s="5"/>
    </row>
    <row r="324" spans="2:18" ht="16" x14ac:dyDescent="0.2">
      <c r="B324" s="9"/>
      <c r="C324" s="10"/>
      <c r="D324" s="10"/>
      <c r="E324" s="14"/>
      <c r="F324" s="3"/>
      <c r="G324" s="4"/>
      <c r="H324" s="5"/>
    </row>
    <row r="325" spans="2:18" ht="16" x14ac:dyDescent="0.2">
      <c r="B325" s="9"/>
      <c r="C325" s="10"/>
      <c r="D325" s="10"/>
      <c r="E325" s="14"/>
      <c r="F325" s="3"/>
      <c r="G325" s="4"/>
      <c r="H325" s="5"/>
    </row>
    <row r="326" spans="2:18" ht="16" x14ac:dyDescent="0.2">
      <c r="B326" s="9"/>
      <c r="C326" s="10"/>
      <c r="D326" s="10"/>
      <c r="E326" s="14"/>
      <c r="F326" s="3"/>
      <c r="G326" s="4"/>
      <c r="H326" s="5"/>
    </row>
    <row r="327" spans="2:18" ht="16" x14ac:dyDescent="0.2">
      <c r="B327" s="9"/>
      <c r="C327" s="10"/>
      <c r="D327" s="10"/>
      <c r="E327" s="14"/>
      <c r="F327" s="3"/>
      <c r="G327" s="4"/>
      <c r="H327" s="5"/>
    </row>
    <row r="328" spans="2:18" ht="16" x14ac:dyDescent="0.2">
      <c r="B328" s="9"/>
      <c r="C328" s="10"/>
      <c r="D328" s="10"/>
      <c r="E328" s="14"/>
      <c r="F328" s="3"/>
      <c r="G328" s="4"/>
      <c r="H328" s="5"/>
    </row>
    <row r="329" spans="2:18" ht="16" x14ac:dyDescent="0.2">
      <c r="B329" s="9"/>
      <c r="C329" s="10"/>
      <c r="D329" s="10"/>
      <c r="E329" s="14"/>
      <c r="F329" s="3"/>
      <c r="G329" s="4"/>
      <c r="H329" s="5"/>
    </row>
    <row r="330" spans="2:18" ht="16" x14ac:dyDescent="0.2">
      <c r="B330" s="9"/>
      <c r="C330" s="10"/>
      <c r="D330" s="10"/>
      <c r="E330" s="14"/>
      <c r="F330" s="3"/>
      <c r="G330" s="4"/>
      <c r="H330" s="5"/>
    </row>
    <row r="331" spans="2:18" ht="17" thickBot="1" x14ac:dyDescent="0.25">
      <c r="B331" s="11"/>
      <c r="C331" s="12"/>
      <c r="D331" s="12"/>
      <c r="E331" s="15"/>
      <c r="F331" s="7"/>
      <c r="G331" s="8"/>
      <c r="H331" s="13"/>
      <c r="I331" s="8"/>
      <c r="J331" s="8"/>
      <c r="K331" s="8"/>
      <c r="L331" s="8"/>
      <c r="M331" s="8"/>
      <c r="N331" s="8"/>
      <c r="O331" s="8"/>
      <c r="P331" s="8"/>
      <c r="Q331" s="8"/>
      <c r="R331" s="8"/>
    </row>
  </sheetData>
  <mergeCells count="7">
    <mergeCell ref="A6:E6"/>
    <mergeCell ref="A1:E1"/>
    <mergeCell ref="F1:H2"/>
    <mergeCell ref="A2:B2"/>
    <mergeCell ref="I2:R2"/>
    <mergeCell ref="S2:AD2"/>
    <mergeCell ref="A5:E5"/>
  </mergeCells>
  <conditionalFormatting sqref="I3">
    <cfRule type="dataBar" priority="9">
      <dataBar>
        <cfvo type="num" val="0"/>
        <cfvo type="num" val="$I$5"/>
        <color rgb="FFFFB628"/>
      </dataBar>
      <extLst>
        <ext xmlns:x14="http://schemas.microsoft.com/office/spreadsheetml/2009/9/main" uri="{B025F937-C7B1-47D3-B67F-A62EFF666E3E}">
          <x14:id>{AAC1CF6E-4B30-4943-8F32-40F92356E5DE}</x14:id>
        </ext>
      </extLst>
    </cfRule>
  </conditionalFormatting>
  <conditionalFormatting sqref="J3:Q3">
    <cfRule type="dataBar" priority="10">
      <dataBar>
        <cfvo type="num" val="0"/>
        <cfvo type="num" val="$J$5"/>
        <color rgb="FFFFB628"/>
      </dataBar>
      <extLst>
        <ext xmlns:x14="http://schemas.microsoft.com/office/spreadsheetml/2009/9/main" uri="{B025F937-C7B1-47D3-B67F-A62EFF666E3E}">
          <x14:id>{9CB6A2ED-3197-EE44-A32C-167433562263}</x14:id>
        </ext>
      </extLst>
    </cfRule>
  </conditionalFormatting>
  <conditionalFormatting sqref="R3">
    <cfRule type="dataBar" priority="11">
      <dataBar>
        <cfvo type="num" val="0"/>
        <cfvo type="num" val="$R$5"/>
        <color rgb="FFFFB628"/>
      </dataBar>
      <extLst>
        <ext xmlns:x14="http://schemas.microsoft.com/office/spreadsheetml/2009/9/main" uri="{B025F937-C7B1-47D3-B67F-A62EFF666E3E}">
          <x14:id>{BD76B153-49A3-3241-9354-6CC0069F6825}</x14:id>
        </ext>
      </extLst>
    </cfRule>
  </conditionalFormatting>
  <conditionalFormatting sqref="F3:F5 F1">
    <cfRule type="dataBar" priority="12">
      <dataBar>
        <cfvo type="num" val="0"/>
        <cfvo type="num" val="$F$5"/>
        <color rgb="FFFF555A"/>
      </dataBar>
      <extLst>
        <ext xmlns:x14="http://schemas.microsoft.com/office/spreadsheetml/2009/9/main" uri="{B025F937-C7B1-47D3-B67F-A62EFF666E3E}">
          <x14:id>{35218984-00A5-4B46-9B43-E2532034CF5F}</x14:id>
        </ext>
      </extLst>
    </cfRule>
  </conditionalFormatting>
  <conditionalFormatting sqref="G3:G5 H4">
    <cfRule type="dataBar" priority="13">
      <dataBar>
        <cfvo type="num" val="0"/>
        <cfvo type="num" val="$G$5"/>
        <color theme="4"/>
      </dataBar>
      <extLst>
        <ext xmlns:x14="http://schemas.microsoft.com/office/spreadsheetml/2009/9/main" uri="{B025F937-C7B1-47D3-B67F-A62EFF666E3E}">
          <x14:id>{79AFFFCF-7A26-2E46-B2D9-A4D78389C365}</x14:id>
        </ext>
      </extLst>
    </cfRule>
  </conditionalFormatting>
  <conditionalFormatting sqref="H4:H5">
    <cfRule type="dataBar" priority="14">
      <dataBar>
        <cfvo type="num" val="0"/>
        <cfvo type="num" val="$H$5"/>
        <color theme="4"/>
      </dataBar>
      <extLst>
        <ext xmlns:x14="http://schemas.microsoft.com/office/spreadsheetml/2009/9/main" uri="{B025F937-C7B1-47D3-B67F-A62EFF666E3E}">
          <x14:id>{CF51EC21-7314-4245-B0A7-958C68845BFC}</x14:id>
        </ext>
      </extLst>
    </cfRule>
  </conditionalFormatting>
  <conditionalFormatting sqref="T4:AD4 AC3:AD3">
    <cfRule type="dataBar" priority="8">
      <dataBar>
        <cfvo type="num" val="0"/>
        <cfvo type="num" val="#REF!"/>
        <color rgb="FFFFB628"/>
      </dataBar>
      <extLst>
        <ext xmlns:x14="http://schemas.microsoft.com/office/spreadsheetml/2009/9/main" uri="{B025F937-C7B1-47D3-B67F-A62EFF666E3E}">
          <x14:id>{8252F0EC-5CC8-3641-B744-46CA71D74A78}</x14:id>
        </ext>
      </extLst>
    </cfRule>
  </conditionalFormatting>
  <conditionalFormatting sqref="H3">
    <cfRule type="dataBar" priority="7">
      <dataBar>
        <cfvo type="num" val="0"/>
        <cfvo type="num" val="$G$5"/>
        <color theme="4"/>
      </dataBar>
      <extLst>
        <ext xmlns:x14="http://schemas.microsoft.com/office/spreadsheetml/2009/9/main" uri="{B025F937-C7B1-47D3-B67F-A62EFF666E3E}">
          <x14:id>{FE16DF58-27C9-8844-9BB0-D103FEE23133}</x14:id>
        </ext>
      </extLst>
    </cfRule>
  </conditionalFormatting>
  <conditionalFormatting sqref="I4">
    <cfRule type="dataBar" priority="4">
      <dataBar>
        <cfvo type="num" val="0"/>
        <cfvo type="num" val="$I$5"/>
        <color rgb="FFFFB628"/>
      </dataBar>
      <extLst>
        <ext xmlns:x14="http://schemas.microsoft.com/office/spreadsheetml/2009/9/main" uri="{B025F937-C7B1-47D3-B67F-A62EFF666E3E}">
          <x14:id>{89C611EA-3872-274A-BB07-D704E1D5DF08}</x14:id>
        </ext>
      </extLst>
    </cfRule>
  </conditionalFormatting>
  <conditionalFormatting sqref="J4:Q4">
    <cfRule type="dataBar" priority="5">
      <dataBar>
        <cfvo type="num" val="0"/>
        <cfvo type="num" val="$J$5"/>
        <color rgb="FFFFB628"/>
      </dataBar>
      <extLst>
        <ext xmlns:x14="http://schemas.microsoft.com/office/spreadsheetml/2009/9/main" uri="{B025F937-C7B1-47D3-B67F-A62EFF666E3E}">
          <x14:id>{EF66A9B7-8D5B-E848-9601-080ACD13DC61}</x14:id>
        </ext>
      </extLst>
    </cfRule>
  </conditionalFormatting>
  <conditionalFormatting sqref="R4">
    <cfRule type="dataBar" priority="6">
      <dataBar>
        <cfvo type="num" val="0"/>
        <cfvo type="num" val="$R$5"/>
        <color rgb="FFFFB628"/>
      </dataBar>
      <extLst>
        <ext xmlns:x14="http://schemas.microsoft.com/office/spreadsheetml/2009/9/main" uri="{B025F937-C7B1-47D3-B67F-A62EFF666E3E}">
          <x14:id>{42112899-BF80-8D4C-9FEB-34629B37E0F2}</x14:id>
        </ext>
      </extLst>
    </cfRule>
  </conditionalFormatting>
  <conditionalFormatting sqref="S4">
    <cfRule type="dataBar" priority="3">
      <dataBar>
        <cfvo type="num" val="0"/>
        <cfvo type="num" val="#REF!"/>
        <color rgb="FFFFB628"/>
      </dataBar>
      <extLst>
        <ext xmlns:x14="http://schemas.microsoft.com/office/spreadsheetml/2009/9/main" uri="{B025F937-C7B1-47D3-B67F-A62EFF666E3E}">
          <x14:id>{1006BD29-B825-1C47-97FE-AE0F4AD6DF9C}</x14:id>
        </ext>
      </extLst>
    </cfRule>
  </conditionalFormatting>
  <conditionalFormatting sqref="T3:AB3">
    <cfRule type="dataBar" priority="2">
      <dataBar>
        <cfvo type="num" val="0"/>
        <cfvo type="num" val="#REF!"/>
        <color rgb="FFFFB628"/>
      </dataBar>
      <extLst>
        <ext xmlns:x14="http://schemas.microsoft.com/office/spreadsheetml/2009/9/main" uri="{B025F937-C7B1-47D3-B67F-A62EFF666E3E}">
          <x14:id>{A171ED99-08E6-7B48-9C78-C5F7636F8A19}</x14:id>
        </ext>
      </extLst>
    </cfRule>
  </conditionalFormatting>
  <conditionalFormatting sqref="S3">
    <cfRule type="dataBar" priority="1">
      <dataBar>
        <cfvo type="num" val="0"/>
        <cfvo type="num" val="#REF!"/>
        <color rgb="FFFFB628"/>
      </dataBar>
      <extLst>
        <ext xmlns:x14="http://schemas.microsoft.com/office/spreadsheetml/2009/9/main" uri="{B025F937-C7B1-47D3-B67F-A62EFF666E3E}">
          <x14:id>{8DDB8F73-2B28-074F-9521-E649CC13917D}</x14:id>
        </ext>
      </extLst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C1CF6E-4B30-4943-8F32-40F92356E5DE}">
            <x14:dataBar minLength="0" maxLength="100" gradient="0">
              <x14:cfvo type="num">
                <xm:f>0</xm:f>
              </x14:cfvo>
              <x14:cfvo type="num">
                <xm:f>$I$5</xm:f>
              </x14:cfvo>
              <x14:negativeFillColor rgb="FFFF0000"/>
              <x14:axisColor rgb="FF000000"/>
            </x14:dataBar>
          </x14:cfRule>
          <xm:sqref>I3</xm:sqref>
        </x14:conditionalFormatting>
        <x14:conditionalFormatting xmlns:xm="http://schemas.microsoft.com/office/excel/2006/main">
          <x14:cfRule type="dataBar" id="{9CB6A2ED-3197-EE44-A32C-167433562263}">
            <x14:dataBar minLength="0" maxLength="100" gradient="0">
              <x14:cfvo type="num">
                <xm:f>0</xm:f>
              </x14:cfvo>
              <x14:cfvo type="num">
                <xm:f>$J$5</xm:f>
              </x14:cfvo>
              <x14:negativeFillColor rgb="FFFF0000"/>
              <x14:axisColor rgb="FF000000"/>
            </x14:dataBar>
          </x14:cfRule>
          <xm:sqref>J3:Q3</xm:sqref>
        </x14:conditionalFormatting>
        <x14:conditionalFormatting xmlns:xm="http://schemas.microsoft.com/office/excel/2006/main">
          <x14:cfRule type="dataBar" id="{BD76B153-49A3-3241-9354-6CC0069F6825}">
            <x14:dataBar minLength="0" maxLength="100" gradient="0">
              <x14:cfvo type="num">
                <xm:f>0</xm:f>
              </x14:cfvo>
              <x14:cfvo type="num">
                <xm:f>$R$5</xm:f>
              </x14:cfvo>
              <x14:negativeFillColor rgb="FFFF0000"/>
              <x14:axisColor rgb="FF000000"/>
            </x14:dataBar>
          </x14:cfRule>
          <xm:sqref>R3</xm:sqref>
        </x14:conditionalFormatting>
        <x14:conditionalFormatting xmlns:xm="http://schemas.microsoft.com/office/excel/2006/main">
          <x14:cfRule type="dataBar" id="{35218984-00A5-4B46-9B43-E2532034CF5F}">
            <x14:dataBar minLength="0" maxLength="100" gradient="0">
              <x14:cfvo type="num">
                <xm:f>0</xm:f>
              </x14:cfvo>
              <x14:cfvo type="num">
                <xm:f>$F$5</xm:f>
              </x14:cfvo>
              <x14:negativeFillColor rgb="FFFF0000"/>
              <x14:axisColor rgb="FF000000"/>
            </x14:dataBar>
          </x14:cfRule>
          <xm:sqref>F3:F5 F1</xm:sqref>
        </x14:conditionalFormatting>
        <x14:conditionalFormatting xmlns:xm="http://schemas.microsoft.com/office/excel/2006/main">
          <x14:cfRule type="dataBar" id="{79AFFFCF-7A26-2E46-B2D9-A4D78389C365}">
            <x14:dataBar minLength="0" maxLength="100" gradient="0">
              <x14:cfvo type="num">
                <xm:f>0</xm:f>
              </x14:cfvo>
              <x14:cfvo type="num">
                <xm:f>$G$5</xm:f>
              </x14:cfvo>
              <x14:negativeFillColor rgb="FFFF0000"/>
              <x14:axisColor rgb="FF000000"/>
            </x14:dataBar>
          </x14:cfRule>
          <xm:sqref>G3:G5 H4</xm:sqref>
        </x14:conditionalFormatting>
        <x14:conditionalFormatting xmlns:xm="http://schemas.microsoft.com/office/excel/2006/main">
          <x14:cfRule type="dataBar" id="{CF51EC21-7314-4245-B0A7-958C68845BFC}">
            <x14:dataBar minLength="0" maxLength="100" gradient="0">
              <x14:cfvo type="num">
                <xm:f>0</xm:f>
              </x14:cfvo>
              <x14:cfvo type="num">
                <xm:f>$H$5</xm:f>
              </x14:cfvo>
              <x14:negativeFillColor rgb="FFFF0000"/>
              <x14:axisColor rgb="FF000000"/>
            </x14:dataBar>
          </x14:cfRule>
          <xm:sqref>H4:H5</xm:sqref>
        </x14:conditionalFormatting>
        <x14:conditionalFormatting xmlns:xm="http://schemas.microsoft.com/office/excel/2006/main">
          <x14:cfRule type="dataBar" id="{8252F0EC-5CC8-3641-B744-46CA71D74A78}">
            <x14:dataBar minLength="0" maxLength="100" gradient="0">
              <x14:cfvo type="num">
                <xm:f>0</xm:f>
              </x14:cfvo>
              <x14:cfvo type="num">
                <xm:f>#REF!</xm:f>
              </x14:cfvo>
              <x14:negativeFillColor rgb="FFFF0000"/>
              <x14:axisColor rgb="FF000000"/>
            </x14:dataBar>
          </x14:cfRule>
          <xm:sqref>T4:AD4 AC3:AD3</xm:sqref>
        </x14:conditionalFormatting>
        <x14:conditionalFormatting xmlns:xm="http://schemas.microsoft.com/office/excel/2006/main">
          <x14:cfRule type="dataBar" id="{FE16DF58-27C9-8844-9BB0-D103FEE23133}">
            <x14:dataBar minLength="0" maxLength="100" gradient="0">
              <x14:cfvo type="num">
                <xm:f>0</xm:f>
              </x14:cfvo>
              <x14:cfvo type="num">
                <xm:f>$G$5</xm:f>
              </x14:cfvo>
              <x14:negativeFillColor rgb="FFFF0000"/>
              <x14:axisColor rgb="FF000000"/>
            </x14:dataBar>
          </x14:cfRule>
          <xm:sqref>H3</xm:sqref>
        </x14:conditionalFormatting>
        <x14:conditionalFormatting xmlns:xm="http://schemas.microsoft.com/office/excel/2006/main">
          <x14:cfRule type="dataBar" id="{89C611EA-3872-274A-BB07-D704E1D5DF08}">
            <x14:dataBar minLength="0" maxLength="100" gradient="0">
              <x14:cfvo type="num">
                <xm:f>0</xm:f>
              </x14:cfvo>
              <x14:cfvo type="num">
                <xm:f>$I$5</xm:f>
              </x14:cfvo>
              <x14:negativeFill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EF66A9B7-8D5B-E848-9601-080ACD13DC61}">
            <x14:dataBar minLength="0" maxLength="100" gradient="0">
              <x14:cfvo type="num">
                <xm:f>0</xm:f>
              </x14:cfvo>
              <x14:cfvo type="num">
                <xm:f>$J$5</xm:f>
              </x14:cfvo>
              <x14:negativeFillColor rgb="FFFF0000"/>
              <x14:axisColor rgb="FF000000"/>
            </x14:dataBar>
          </x14:cfRule>
          <xm:sqref>J4:Q4</xm:sqref>
        </x14:conditionalFormatting>
        <x14:conditionalFormatting xmlns:xm="http://schemas.microsoft.com/office/excel/2006/main">
          <x14:cfRule type="dataBar" id="{42112899-BF80-8D4C-9FEB-34629B37E0F2}">
            <x14:dataBar minLength="0" maxLength="100" gradient="0">
              <x14:cfvo type="num">
                <xm:f>0</xm:f>
              </x14:cfvo>
              <x14:cfvo type="num">
                <xm:f>$R$5</xm:f>
              </x14:cfvo>
              <x14:negativeFillColor rgb="FFFF0000"/>
              <x14:axisColor rgb="FF000000"/>
            </x14:dataBar>
          </x14:cfRule>
          <xm:sqref>R4</xm:sqref>
        </x14:conditionalFormatting>
        <x14:conditionalFormatting xmlns:xm="http://schemas.microsoft.com/office/excel/2006/main">
          <x14:cfRule type="dataBar" id="{1006BD29-B825-1C47-97FE-AE0F4AD6DF9C}">
            <x14:dataBar minLength="0" maxLength="100" gradient="0">
              <x14:cfvo type="num">
                <xm:f>0</xm:f>
              </x14:cfvo>
              <x14:cfvo type="num">
                <xm:f>#REF!</xm:f>
              </x14:cfvo>
              <x14:negativeFill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A171ED99-08E6-7B48-9C78-C5F7636F8A19}">
            <x14:dataBar minLength="0" maxLength="100" gradient="0">
              <x14:cfvo type="num">
                <xm:f>0</xm:f>
              </x14:cfvo>
              <x14:cfvo type="num">
                <xm:f>#REF!</xm:f>
              </x14:cfvo>
              <x14:negativeFillColor rgb="FFFF0000"/>
              <x14:axisColor rgb="FF000000"/>
            </x14:dataBar>
          </x14:cfRule>
          <xm:sqref>T3:AB3</xm:sqref>
        </x14:conditionalFormatting>
        <x14:conditionalFormatting xmlns:xm="http://schemas.microsoft.com/office/excel/2006/main">
          <x14:cfRule type="dataBar" id="{8DDB8F73-2B28-074F-9521-E649CC13917D}">
            <x14:dataBar minLength="0" maxLength="100" gradient="0">
              <x14:cfvo type="num">
                <xm:f>0</xm:f>
              </x14:cfvo>
              <x14:cfvo type="num">
                <xm:f>#REF!</xm:f>
              </x14:cfvo>
              <x14:negativeFillColor rgb="FFFF0000"/>
              <x14:axisColor rgb="FF000000"/>
            </x14:dataBar>
          </x14:cfRule>
          <xm:sqref>S3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Studenten</vt:lpstr>
      <vt:lpstr>Vorlage</vt:lpstr>
      <vt:lpstr>M5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Alexandra Snackers</dc:creator>
  <cp:lastModifiedBy>Timo Diepers</cp:lastModifiedBy>
  <dcterms:created xsi:type="dcterms:W3CDTF">2015-06-05T18:19:34Z</dcterms:created>
  <dcterms:modified xsi:type="dcterms:W3CDTF">2026-02-18T12:30:00Z</dcterms:modified>
</cp:coreProperties>
</file>